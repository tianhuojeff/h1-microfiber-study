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B/Desktop/Mosman/"/>
    </mc:Choice>
  </mc:AlternateContent>
  <xr:revisionPtr revIDLastSave="0" documentId="13_ncr:1_{4595610D-7C51-C84F-BC46-9AAC9EDA2250}" xr6:coauthVersionLast="45" xr6:coauthVersionMax="45" xr10:uidLastSave="{00000000-0000-0000-0000-000000000000}"/>
  <bookViews>
    <workbookView xWindow="0" yWindow="460" windowWidth="26000" windowHeight="16060" tabRatio="500" xr2:uid="{00000000-000D-0000-FFFF-FFFF00000000}"/>
  </bookViews>
  <sheets>
    <sheet name="Cotton" sheetId="1" r:id="rId1"/>
    <sheet name="Polyester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19" i="1" l="1"/>
  <c r="L20" i="1"/>
  <c r="Q18" i="1" s="1"/>
  <c r="AA18" i="1" s="1"/>
  <c r="K19" i="1"/>
  <c r="P18" i="1" s="1"/>
  <c r="Z18" i="1" s="1"/>
  <c r="Z26" i="1" s="1"/>
  <c r="K20" i="1"/>
  <c r="J19" i="1"/>
  <c r="J20" i="1"/>
  <c r="O18" i="1" s="1"/>
  <c r="Y18" i="1" s="1"/>
  <c r="L17" i="1"/>
  <c r="Q17" i="1" s="1"/>
  <c r="AA17" i="1" s="1"/>
  <c r="L18" i="1"/>
  <c r="K17" i="1"/>
  <c r="K18" i="1"/>
  <c r="P17" i="1" s="1"/>
  <c r="Z17" i="1" s="1"/>
  <c r="J17" i="1"/>
  <c r="O17" i="1" s="1"/>
  <c r="Y17" i="1" s="1"/>
  <c r="J18" i="1"/>
  <c r="Y17" i="3"/>
  <c r="AM17" i="3" s="1"/>
  <c r="AM25" i="3" s="1"/>
  <c r="Y18" i="3"/>
  <c r="AM18" i="3" s="1"/>
  <c r="R25" i="3"/>
  <c r="R24" i="3"/>
  <c r="G30" i="3" s="1"/>
  <c r="G40" i="3" s="1"/>
  <c r="N19" i="3"/>
  <c r="N20" i="3"/>
  <c r="U18" i="3"/>
  <c r="AI18" i="3" s="1"/>
  <c r="C25" i="3"/>
  <c r="N25" i="3" s="1"/>
  <c r="C31" i="3" s="1"/>
  <c r="D25" i="3"/>
  <c r="O19" i="3"/>
  <c r="O20" i="3"/>
  <c r="V18" i="3"/>
  <c r="AJ18" i="3" s="1"/>
  <c r="AJ26" i="3" s="1"/>
  <c r="O25" i="3"/>
  <c r="P19" i="3"/>
  <c r="P20" i="3"/>
  <c r="W18" i="3"/>
  <c r="AK18" i="3" s="1"/>
  <c r="AK26" i="3" s="1"/>
  <c r="P25" i="3"/>
  <c r="E31" i="3" s="1"/>
  <c r="X18" i="3"/>
  <c r="AL18" i="3" s="1"/>
  <c r="AL26" i="3" s="1"/>
  <c r="I25" i="3"/>
  <c r="Q25" i="3"/>
  <c r="F31" i="3" s="1"/>
  <c r="F41" i="3" s="1"/>
  <c r="O17" i="3"/>
  <c r="O18" i="3"/>
  <c r="V17" i="3" s="1"/>
  <c r="AJ17" i="3" s="1"/>
  <c r="AJ25" i="3" s="1"/>
  <c r="O24" i="3"/>
  <c r="P17" i="3"/>
  <c r="W17" i="3" s="1"/>
  <c r="AK17" i="3" s="1"/>
  <c r="P18" i="3"/>
  <c r="P24" i="3"/>
  <c r="X17" i="3"/>
  <c r="AL17" i="3" s="1"/>
  <c r="Q24" i="3"/>
  <c r="N17" i="3"/>
  <c r="N18" i="3"/>
  <c r="U17" i="3" s="1"/>
  <c r="AI17" i="3" s="1"/>
  <c r="N24" i="3"/>
  <c r="N15" i="3"/>
  <c r="N16" i="3"/>
  <c r="U16" i="3"/>
  <c r="AP16" i="3" s="1"/>
  <c r="AI5" i="3"/>
  <c r="N3" i="3"/>
  <c r="U5" i="3" s="1"/>
  <c r="AP5" i="3" s="1"/>
  <c r="C34" i="3" s="1"/>
  <c r="N4" i="3"/>
  <c r="N5" i="3"/>
  <c r="J3" i="1"/>
  <c r="O5" i="1" s="1"/>
  <c r="AD5" i="1" s="1"/>
  <c r="J4" i="1"/>
  <c r="J5" i="1"/>
  <c r="X7" i="3"/>
  <c r="AS7" i="3" s="1"/>
  <c r="F36" i="3" s="1"/>
  <c r="AL7" i="3"/>
  <c r="J6" i="1"/>
  <c r="O6" i="1" s="1"/>
  <c r="AD6" i="1" s="1"/>
  <c r="C35" i="1" s="1"/>
  <c r="J7" i="1"/>
  <c r="J8" i="1"/>
  <c r="Y6" i="1"/>
  <c r="K6" i="1"/>
  <c r="K7" i="1"/>
  <c r="K8" i="1"/>
  <c r="P6" i="1"/>
  <c r="Z6" i="1"/>
  <c r="AE6" i="1"/>
  <c r="D35" i="1" s="1"/>
  <c r="L6" i="1"/>
  <c r="Q6" i="1" s="1"/>
  <c r="AF6" i="1" s="1"/>
  <c r="E35" i="1" s="1"/>
  <c r="L7" i="1"/>
  <c r="L8" i="1"/>
  <c r="AA6" i="1"/>
  <c r="Y5" i="1"/>
  <c r="J15" i="1"/>
  <c r="J16" i="1"/>
  <c r="O16" i="1"/>
  <c r="AD16" i="1" s="1"/>
  <c r="K3" i="1"/>
  <c r="K4" i="1"/>
  <c r="P5" i="1" s="1"/>
  <c r="AE5" i="1" s="1"/>
  <c r="K5" i="1"/>
  <c r="Z5" i="1"/>
  <c r="K15" i="1"/>
  <c r="K16" i="1"/>
  <c r="P16" i="1" s="1"/>
  <c r="AE16" i="1" s="1"/>
  <c r="L3" i="1"/>
  <c r="Q5" i="1" s="1"/>
  <c r="AF5" i="1" s="1"/>
  <c r="E34" i="1" s="1"/>
  <c r="E39" i="1" s="1"/>
  <c r="L4" i="1"/>
  <c r="L5" i="1"/>
  <c r="AA5" i="1"/>
  <c r="L15" i="1"/>
  <c r="Q16" i="1" s="1"/>
  <c r="AF16" i="1" s="1"/>
  <c r="L16" i="1"/>
  <c r="N6" i="3"/>
  <c r="N7" i="3"/>
  <c r="U6" i="3" s="1"/>
  <c r="AP6" i="3" s="1"/>
  <c r="C35" i="3" s="1"/>
  <c r="N8" i="3"/>
  <c r="AI6" i="3"/>
  <c r="O6" i="3"/>
  <c r="V6" i="3" s="1"/>
  <c r="AQ6" i="3" s="1"/>
  <c r="D35" i="3" s="1"/>
  <c r="O7" i="3"/>
  <c r="O8" i="3"/>
  <c r="AJ6" i="3"/>
  <c r="P6" i="3"/>
  <c r="P7" i="3"/>
  <c r="P8" i="3"/>
  <c r="W6" i="3"/>
  <c r="AK6" i="3"/>
  <c r="AR6" i="3"/>
  <c r="E35" i="3" s="1"/>
  <c r="X6" i="3"/>
  <c r="AL6" i="3"/>
  <c r="AS6" i="3"/>
  <c r="F35" i="3" s="1"/>
  <c r="Y6" i="3"/>
  <c r="AT6" i="3" s="1"/>
  <c r="G35" i="3" s="1"/>
  <c r="AM6" i="3"/>
  <c r="N9" i="3"/>
  <c r="N10" i="3"/>
  <c r="U7" i="3" s="1"/>
  <c r="AP7" i="3" s="1"/>
  <c r="C36" i="3" s="1"/>
  <c r="N11" i="3"/>
  <c r="AI7" i="3"/>
  <c r="O9" i="3"/>
  <c r="V7" i="3" s="1"/>
  <c r="AQ7" i="3" s="1"/>
  <c r="D36" i="3" s="1"/>
  <c r="O10" i="3"/>
  <c r="O11" i="3"/>
  <c r="AJ7" i="3"/>
  <c r="P9" i="3"/>
  <c r="P10" i="3"/>
  <c r="P11" i="3"/>
  <c r="W7" i="3"/>
  <c r="AK7" i="3"/>
  <c r="AR7" i="3"/>
  <c r="E36" i="3" s="1"/>
  <c r="O3" i="3"/>
  <c r="O4" i="3"/>
  <c r="V5" i="3" s="1"/>
  <c r="AQ5" i="3" s="1"/>
  <c r="D34" i="3" s="1"/>
  <c r="D39" i="3" s="1"/>
  <c r="O5" i="3"/>
  <c r="AJ5" i="3"/>
  <c r="O15" i="3"/>
  <c r="O16" i="3"/>
  <c r="V16" i="3"/>
  <c r="AQ16" i="3" s="1"/>
  <c r="P3" i="3"/>
  <c r="W5" i="3" s="1"/>
  <c r="AR5" i="3" s="1"/>
  <c r="E34" i="3" s="1"/>
  <c r="E39" i="3" s="1"/>
  <c r="P4" i="3"/>
  <c r="P5" i="3"/>
  <c r="AK5" i="3"/>
  <c r="P15" i="3"/>
  <c r="P16" i="3"/>
  <c r="W16" i="3"/>
  <c r="AR16" i="3" s="1"/>
  <c r="Y7" i="3"/>
  <c r="AM7" i="3"/>
  <c r="AT7" i="3"/>
  <c r="G36" i="3" s="1"/>
  <c r="X5" i="3"/>
  <c r="AS5" i="3" s="1"/>
  <c r="F34" i="3" s="1"/>
  <c r="F39" i="3" s="1"/>
  <c r="AL5" i="3"/>
  <c r="X16" i="3"/>
  <c r="AS16" i="3" s="1"/>
  <c r="Y5" i="3"/>
  <c r="AM5" i="3"/>
  <c r="Y16" i="3"/>
  <c r="AT16" i="3" s="1"/>
  <c r="AT5" i="3" s="1"/>
  <c r="G34" i="3" s="1"/>
  <c r="G39" i="3" s="1"/>
  <c r="K29" i="3"/>
  <c r="L29" i="3" s="1"/>
  <c r="J29" i="3"/>
  <c r="AF7" i="3"/>
  <c r="AF6" i="3"/>
  <c r="AF5" i="3"/>
  <c r="AE7" i="3"/>
  <c r="AE6" i="3"/>
  <c r="AE5" i="3"/>
  <c r="AD5" i="3"/>
  <c r="J25" i="1"/>
  <c r="J9" i="1"/>
  <c r="J10" i="1"/>
  <c r="J11" i="1"/>
  <c r="O7" i="1"/>
  <c r="AD7" i="1" s="1"/>
  <c r="C36" i="1" s="1"/>
  <c r="Y7" i="1"/>
  <c r="K25" i="1"/>
  <c r="D31" i="1" s="1"/>
  <c r="K9" i="1"/>
  <c r="P7" i="1" s="1"/>
  <c r="AE7" i="1" s="1"/>
  <c r="D36" i="1" s="1"/>
  <c r="K10" i="1"/>
  <c r="K11" i="1"/>
  <c r="Z7" i="1"/>
  <c r="L25" i="1"/>
  <c r="L9" i="1"/>
  <c r="L10" i="1"/>
  <c r="L11" i="1"/>
  <c r="Q7" i="1"/>
  <c r="AF7" i="1" s="1"/>
  <c r="E36" i="1" s="1"/>
  <c r="AA7" i="1"/>
  <c r="J24" i="1"/>
  <c r="K24" i="1"/>
  <c r="L24" i="1"/>
  <c r="AB7" i="3"/>
  <c r="AB6" i="3"/>
  <c r="AB5" i="3"/>
  <c r="AD7" i="3"/>
  <c r="AD6" i="3"/>
  <c r="AC7" i="3"/>
  <c r="AC6" i="3"/>
  <c r="AC5" i="3"/>
  <c r="H29" i="1"/>
  <c r="I29" i="1"/>
  <c r="J29" i="1"/>
  <c r="K34" i="3" l="1"/>
  <c r="L34" i="3" s="1"/>
  <c r="C39" i="3"/>
  <c r="J34" i="3"/>
  <c r="H35" i="1"/>
  <c r="I35" i="1"/>
  <c r="J35" i="1" s="1"/>
  <c r="E30" i="1"/>
  <c r="E40" i="1" s="1"/>
  <c r="AA25" i="1"/>
  <c r="E41" i="3"/>
  <c r="AK25" i="3"/>
  <c r="E30" i="3"/>
  <c r="E40" i="3" s="1"/>
  <c r="C41" i="3"/>
  <c r="C34" i="1"/>
  <c r="D30" i="3"/>
  <c r="D40" i="3" s="1"/>
  <c r="AI26" i="3"/>
  <c r="C31" i="1"/>
  <c r="Y26" i="1"/>
  <c r="D34" i="1"/>
  <c r="D39" i="1" s="1"/>
  <c r="AI25" i="3"/>
  <c r="C30" i="3"/>
  <c r="C30" i="1"/>
  <c r="Y25" i="1"/>
  <c r="F30" i="3"/>
  <c r="F40" i="3" s="1"/>
  <c r="AL25" i="3"/>
  <c r="J35" i="3"/>
  <c r="K35" i="3"/>
  <c r="L35" i="3" s="1"/>
  <c r="AM26" i="3"/>
  <c r="G31" i="3"/>
  <c r="G41" i="3" s="1"/>
  <c r="D41" i="1"/>
  <c r="H36" i="1"/>
  <c r="I36" i="1"/>
  <c r="J36" i="1" s="1"/>
  <c r="J36" i="3"/>
  <c r="K36" i="3"/>
  <c r="L36" i="3" s="1"/>
  <c r="D31" i="3"/>
  <c r="D41" i="3" s="1"/>
  <c r="Z25" i="1"/>
  <c r="D30" i="1"/>
  <c r="D40" i="1" s="1"/>
  <c r="AA26" i="1"/>
  <c r="E31" i="1"/>
  <c r="E41" i="1" s="1"/>
  <c r="J31" i="3" l="1"/>
  <c r="I30" i="1"/>
  <c r="J30" i="1" s="1"/>
  <c r="H30" i="1"/>
  <c r="C40" i="1"/>
  <c r="K41" i="3"/>
  <c r="L41" i="3" s="1"/>
  <c r="J41" i="3"/>
  <c r="K30" i="3"/>
  <c r="L30" i="3" s="1"/>
  <c r="C40" i="3"/>
  <c r="J30" i="3"/>
  <c r="J39" i="3"/>
  <c r="K39" i="3"/>
  <c r="L39" i="3" s="1"/>
  <c r="I34" i="1"/>
  <c r="J34" i="1" s="1"/>
  <c r="C39" i="1"/>
  <c r="H34" i="1"/>
  <c r="K31" i="3"/>
  <c r="L31" i="3" s="1"/>
  <c r="C41" i="1"/>
  <c r="H31" i="1"/>
  <c r="I31" i="1"/>
  <c r="J31" i="1" s="1"/>
  <c r="K40" i="3" l="1"/>
  <c r="L40" i="3" s="1"/>
  <c r="J40" i="3"/>
  <c r="I41" i="1"/>
  <c r="J41" i="1" s="1"/>
  <c r="H41" i="1"/>
  <c r="I40" i="1"/>
  <c r="J40" i="1" s="1"/>
  <c r="H40" i="1"/>
  <c r="H39" i="1"/>
  <c r="I39" i="1"/>
  <c r="J39" i="1" s="1"/>
</calcChain>
</file>

<file path=xl/sharedStrings.xml><?xml version="1.0" encoding="utf-8"?>
<sst xmlns="http://schemas.openxmlformats.org/spreadsheetml/2006/main" count="410" uniqueCount="56">
  <si>
    <t>before</t>
  </si>
  <si>
    <t>after</t>
  </si>
  <si>
    <t>Case</t>
  </si>
  <si>
    <t>mm filter B</t>
  </si>
  <si>
    <t>No filter A</t>
  </si>
  <si>
    <t>mm filter A</t>
  </si>
  <si>
    <t>um filter A</t>
  </si>
  <si>
    <t>um filter B</t>
  </si>
  <si>
    <t>No filter B</t>
  </si>
  <si>
    <t>No filter C</t>
  </si>
  <si>
    <t>mm filter C</t>
  </si>
  <si>
    <t>um filter C</t>
  </si>
  <si>
    <t xml:space="preserve">No filter </t>
  </si>
  <si>
    <t xml:space="preserve">mm filter </t>
  </si>
  <si>
    <t xml:space="preserve">um filter </t>
  </si>
  <si>
    <t>Difference</t>
  </si>
  <si>
    <t>sd</t>
  </si>
  <si>
    <t>se</t>
  </si>
  <si>
    <t>No filter</t>
  </si>
  <si>
    <t>average</t>
  </si>
  <si>
    <t>no filter</t>
  </si>
  <si>
    <t>mm</t>
  </si>
  <si>
    <t>um</t>
  </si>
  <si>
    <t>dirty</t>
  </si>
  <si>
    <t>clean</t>
  </si>
  <si>
    <t>Volume of water discharged - drum mass</t>
  </si>
  <si>
    <t>Volume of water in case</t>
  </si>
  <si>
    <t>Masses of debris in effluent</t>
  </si>
  <si>
    <t xml:space="preserve"> </t>
  </si>
  <si>
    <t>Debris trapped on metal filter</t>
  </si>
  <si>
    <t>Total debris in effluent in drum</t>
  </si>
  <si>
    <t>Debris NOT going to sewage (trapped on filter &amp; in case)</t>
  </si>
  <si>
    <t>Debris in case GOING to sewage</t>
  </si>
  <si>
    <r>
      <t xml:space="preserve">Debris in case </t>
    </r>
    <r>
      <rPr>
        <b/>
        <u/>
        <sz val="20"/>
        <color theme="1"/>
        <rFont val="Calibri"/>
        <family val="2"/>
        <scheme val="minor"/>
      </rPr>
      <t>NOT</t>
    </r>
    <r>
      <rPr>
        <b/>
        <sz val="20"/>
        <color theme="1"/>
        <rFont val="Calibri"/>
        <family val="2"/>
        <scheme val="minor"/>
      </rPr>
      <t xml:space="preserve"> GOING to sewage</t>
    </r>
  </si>
  <si>
    <t xml:space="preserve">Total debris </t>
  </si>
  <si>
    <t>Total filtered debris</t>
  </si>
  <si>
    <t>Volume of water discharged</t>
  </si>
  <si>
    <t>Average mass of debris per litre</t>
  </si>
  <si>
    <t>Average mass of debris in case per litre</t>
  </si>
  <si>
    <t>Masses of debris in effluent per 200mL</t>
  </si>
  <si>
    <t>Average mass of debris per Litre</t>
  </si>
  <si>
    <t>Volume of water in case in litres</t>
  </si>
  <si>
    <t xml:space="preserve">Volume of water discharged + drum mass </t>
  </si>
  <si>
    <t>% of debris trapped by filter</t>
  </si>
  <si>
    <t>2 mm filter</t>
  </si>
  <si>
    <t>150 μm filter</t>
  </si>
  <si>
    <t>Miele</t>
  </si>
  <si>
    <r>
      <t xml:space="preserve">Debris in case &amp; filter </t>
    </r>
    <r>
      <rPr>
        <b/>
        <u/>
        <sz val="20"/>
        <color theme="1"/>
        <rFont val="Calibri"/>
        <family val="2"/>
        <scheme val="minor"/>
      </rPr>
      <t>NOT</t>
    </r>
    <r>
      <rPr>
        <b/>
        <sz val="20"/>
        <color theme="1"/>
        <rFont val="Calibri"/>
        <family val="2"/>
        <scheme val="minor"/>
      </rPr>
      <t xml:space="preserve"> GOING to sewage</t>
    </r>
  </si>
  <si>
    <t xml:space="preserve">Case </t>
  </si>
  <si>
    <t>Omega OWD 6000 WA</t>
  </si>
  <si>
    <t>Samsung Bubble Wash</t>
  </si>
  <si>
    <t>Samsung WF7708N6W1</t>
  </si>
  <si>
    <t xml:space="preserve">Omega OWD 6000 WA	</t>
  </si>
  <si>
    <t>Samsung Bubble Washy</t>
  </si>
  <si>
    <t>Miele WT2670</t>
  </si>
  <si>
    <t xml:space="preserve"> Bosch Classixx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</si>
</sst>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1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charset val="128"/>
      <scheme val="minor"/>
    </font>
    <font>
      <u/>
      <sz val="12"/>
      <color theme="11"/>
      <name val="Calibri"/>
      <family val="2"/>
      <charset val="128"/>
      <scheme val="minor"/>
    </font>
    <font>
      <sz val="12"/>
      <color rgb="FF000000"/>
      <name val="Calibri"/>
      <family val="2"/>
      <charset val="128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sz val="12"/>
      <color theme="1"/>
      <name val="Times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53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Fill="1"/>
    <xf numFmtId="0" fontId="0" fillId="0" borderId="1" xfId="0" applyFill="1" applyBorder="1"/>
    <xf numFmtId="0" fontId="0" fillId="0" borderId="0" xfId="0" applyFill="1" applyBorder="1"/>
    <xf numFmtId="164" fontId="0" fillId="0" borderId="1" xfId="0" applyNumberFormat="1" applyFill="1" applyBorder="1"/>
    <xf numFmtId="0" fontId="0" fillId="0" borderId="0" xfId="0" applyFill="1" applyAlignment="1"/>
    <xf numFmtId="164" fontId="0" fillId="0" borderId="0" xfId="0" applyNumberFormat="1" applyFill="1"/>
    <xf numFmtId="0" fontId="4" fillId="0" borderId="1" xfId="0" applyFont="1" applyFill="1" applyBorder="1"/>
    <xf numFmtId="0" fontId="0" fillId="0" borderId="0" xfId="0" applyFill="1" applyAlignment="1">
      <alignment vertical="top"/>
    </xf>
    <xf numFmtId="0" fontId="0" fillId="0" borderId="7" xfId="0" applyFill="1" applyBorder="1"/>
    <xf numFmtId="0" fontId="0" fillId="0" borderId="1" xfId="0" applyFont="1" applyFill="1" applyBorder="1"/>
    <xf numFmtId="0" fontId="5" fillId="0" borderId="0" xfId="0" applyFont="1" applyFill="1" applyBorder="1" applyAlignment="1">
      <alignment horizontal="center" vertical="top" wrapText="1"/>
    </xf>
    <xf numFmtId="0" fontId="8" fillId="0" borderId="1" xfId="0" applyFont="1" applyFill="1" applyBorder="1"/>
    <xf numFmtId="0" fontId="0" fillId="0" borderId="0" xfId="0" applyFill="1" applyAlignment="1">
      <alignment wrapText="1"/>
    </xf>
    <xf numFmtId="164" fontId="4" fillId="0" borderId="1" xfId="0" applyNumberFormat="1" applyFont="1" applyFill="1" applyBorder="1"/>
    <xf numFmtId="0" fontId="4" fillId="0" borderId="1" xfId="0" applyFont="1" applyFill="1" applyBorder="1" applyAlignment="1">
      <alignment wrapText="1"/>
    </xf>
    <xf numFmtId="0" fontId="3" fillId="0" borderId="1" xfId="0" applyFont="1" applyFill="1" applyBorder="1"/>
    <xf numFmtId="0" fontId="0" fillId="0" borderId="0" xfId="0" applyFill="1" applyAlignment="1">
      <alignment horizontal="center"/>
    </xf>
    <xf numFmtId="0" fontId="10" fillId="0" borderId="0" xfId="0" applyFont="1" applyFill="1" applyAlignment="1">
      <alignment horizontal="center" vertical="top" wrapText="1"/>
    </xf>
    <xf numFmtId="2" fontId="0" fillId="0" borderId="1" xfId="0" applyNumberFormat="1" applyFill="1" applyBorder="1"/>
    <xf numFmtId="1" fontId="0" fillId="0" borderId="0" xfId="0" applyNumberFormat="1" applyFill="1"/>
    <xf numFmtId="1" fontId="0" fillId="0" borderId="1" xfId="0" applyNumberFormat="1" applyFill="1" applyBorder="1"/>
    <xf numFmtId="0" fontId="5" fillId="0" borderId="0" xfId="0" applyFont="1" applyFill="1" applyAlignment="1">
      <alignment horizontal="center" vertical="top" wrapText="1"/>
    </xf>
    <xf numFmtId="165" fontId="0" fillId="0" borderId="1" xfId="0" applyNumberFormat="1" applyFill="1" applyBorder="1"/>
    <xf numFmtId="0" fontId="3" fillId="0" borderId="0" xfId="0" applyFont="1" applyFill="1"/>
    <xf numFmtId="0" fontId="8" fillId="0" borderId="0" xfId="0" applyFont="1" applyFill="1" applyBorder="1"/>
    <xf numFmtId="164" fontId="9" fillId="0" borderId="0" xfId="0" applyNumberFormat="1" applyFont="1" applyFill="1" applyBorder="1"/>
    <xf numFmtId="0" fontId="3" fillId="0" borderId="0" xfId="0" applyFont="1" applyFill="1" applyAlignment="1">
      <alignment wrapText="1"/>
    </xf>
    <xf numFmtId="0" fontId="11" fillId="0" borderId="0" xfId="0" applyFont="1"/>
    <xf numFmtId="0" fontId="5" fillId="0" borderId="5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5" fillId="0" borderId="0" xfId="0" applyFont="1" applyFill="1" applyAlignment="1">
      <alignment horizontal="center" vertical="top" wrapText="1"/>
    </xf>
    <xf numFmtId="0" fontId="0" fillId="0" borderId="0" xfId="0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 wrapText="1"/>
    </xf>
    <xf numFmtId="164" fontId="4" fillId="0" borderId="1" xfId="0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4" fillId="0" borderId="6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</cellXfs>
  <cellStyles count="53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4"/>
  <sheetViews>
    <sheetView tabSelected="1" workbookViewId="0">
      <selection activeCell="O4" sqref="O4:Q4"/>
    </sheetView>
  </sheetViews>
  <sheetFormatPr baseColWidth="10" defaultRowHeight="16" x14ac:dyDescent="0.2"/>
  <cols>
    <col min="1" max="1" width="41" style="13" bestFit="1" customWidth="1"/>
    <col min="2" max="2" width="10.6640625" style="1" bestFit="1" customWidth="1"/>
    <col min="3" max="3" width="20.33203125" style="1" bestFit="1" customWidth="1"/>
    <col min="4" max="4" width="21.5" style="1" bestFit="1" customWidth="1"/>
    <col min="5" max="5" width="20.1640625" style="1" bestFit="1" customWidth="1"/>
    <col min="6" max="6" width="7.1640625" style="1" bestFit="1" customWidth="1"/>
    <col min="7" max="7" width="11.6640625" style="1" bestFit="1" customWidth="1"/>
    <col min="8" max="8" width="7.6640625" style="1" bestFit="1" customWidth="1"/>
    <col min="9" max="9" width="6.6640625" style="1" bestFit="1" customWidth="1"/>
    <col min="10" max="10" width="20.33203125" style="6" bestFit="1" customWidth="1"/>
    <col min="11" max="11" width="21.5" style="6" bestFit="1" customWidth="1"/>
    <col min="12" max="12" width="20.1640625" style="6" bestFit="1" customWidth="1"/>
    <col min="13" max="13" width="3.33203125" style="1" customWidth="1"/>
    <col min="14" max="14" width="9.5" style="1" bestFit="1" customWidth="1"/>
    <col min="15" max="15" width="20.33203125" style="1" bestFit="1" customWidth="1"/>
    <col min="16" max="16" width="21.5" style="1" bestFit="1" customWidth="1"/>
    <col min="17" max="17" width="20.1640625" style="1" bestFit="1" customWidth="1"/>
    <col min="18" max="18" width="2.1640625" style="1" customWidth="1"/>
    <col min="19" max="19" width="9.5" style="1" bestFit="1" customWidth="1"/>
    <col min="20" max="20" width="20.33203125" style="1" bestFit="1" customWidth="1"/>
    <col min="21" max="21" width="21.5" style="1" bestFit="1" customWidth="1"/>
    <col min="22" max="22" width="20.1640625" style="1" bestFit="1" customWidth="1"/>
    <col min="23" max="24" width="9.5" style="1" bestFit="1" customWidth="1"/>
    <col min="25" max="25" width="20.33203125" style="1" bestFit="1" customWidth="1"/>
    <col min="26" max="26" width="21.5" style="1" bestFit="1" customWidth="1"/>
    <col min="27" max="27" width="20.1640625" style="1" bestFit="1" customWidth="1"/>
    <col min="28" max="28" width="2.33203125" style="1" customWidth="1"/>
    <col min="29" max="29" width="9.5" style="1" bestFit="1" customWidth="1"/>
    <col min="30" max="30" width="20.33203125" style="1" bestFit="1" customWidth="1"/>
    <col min="31" max="31" width="21.5" style="1" bestFit="1" customWidth="1"/>
    <col min="32" max="32" width="20.1640625" style="1" bestFit="1" customWidth="1"/>
    <col min="33" max="16384" width="10.83203125" style="1"/>
  </cols>
  <sheetData>
    <row r="1" spans="1:32" ht="30" customHeight="1" x14ac:dyDescent="0.2">
      <c r="B1" s="2"/>
      <c r="C1" s="31" t="s">
        <v>49</v>
      </c>
      <c r="D1" s="31"/>
      <c r="E1" s="31" t="s">
        <v>51</v>
      </c>
      <c r="F1" s="31"/>
      <c r="G1" s="31" t="s">
        <v>50</v>
      </c>
      <c r="H1" s="31"/>
      <c r="J1" s="14" t="s">
        <v>49</v>
      </c>
      <c r="K1" s="14" t="s">
        <v>51</v>
      </c>
      <c r="L1" s="14" t="s">
        <v>50</v>
      </c>
      <c r="N1" s="34" t="s">
        <v>40</v>
      </c>
      <c r="O1" s="34"/>
      <c r="P1" s="34"/>
      <c r="Q1" s="34"/>
      <c r="R1" s="8"/>
      <c r="S1" s="32" t="s">
        <v>42</v>
      </c>
      <c r="T1" s="32"/>
      <c r="U1" s="32"/>
      <c r="V1" s="32"/>
      <c r="W1" s="8"/>
      <c r="X1" s="32" t="s">
        <v>25</v>
      </c>
      <c r="Y1" s="32"/>
      <c r="Z1" s="32"/>
      <c r="AA1" s="32"/>
      <c r="AB1" s="8"/>
      <c r="AC1" s="32" t="s">
        <v>30</v>
      </c>
      <c r="AD1" s="33"/>
      <c r="AE1" s="33"/>
      <c r="AF1" s="33"/>
    </row>
    <row r="2" spans="1:32" ht="46" customHeight="1" x14ac:dyDescent="0.2">
      <c r="A2" s="29" t="s">
        <v>27</v>
      </c>
      <c r="B2" s="2"/>
      <c r="C2" s="7" t="s">
        <v>0</v>
      </c>
      <c r="D2" s="7" t="s">
        <v>1</v>
      </c>
      <c r="E2" s="7" t="s">
        <v>0</v>
      </c>
      <c r="F2" s="7" t="s">
        <v>1</v>
      </c>
      <c r="G2" s="7" t="s">
        <v>0</v>
      </c>
      <c r="H2" s="7" t="s">
        <v>1</v>
      </c>
      <c r="J2" s="35" t="s">
        <v>15</v>
      </c>
      <c r="K2" s="35"/>
      <c r="L2" s="35"/>
      <c r="N2" s="34"/>
      <c r="O2" s="34"/>
      <c r="P2" s="34"/>
      <c r="Q2" s="34"/>
      <c r="R2" s="8"/>
      <c r="S2" s="32"/>
      <c r="T2" s="32"/>
      <c r="U2" s="32"/>
      <c r="V2" s="32"/>
      <c r="W2" s="8"/>
      <c r="X2" s="32"/>
      <c r="Y2" s="32"/>
      <c r="Z2" s="32"/>
      <c r="AA2" s="32"/>
      <c r="AB2" s="8"/>
      <c r="AC2" s="33"/>
      <c r="AD2" s="33"/>
      <c r="AE2" s="33"/>
      <c r="AF2" s="33"/>
    </row>
    <row r="3" spans="1:32" x14ac:dyDescent="0.2">
      <c r="A3" s="29"/>
      <c r="B3" s="2" t="s">
        <v>4</v>
      </c>
      <c r="C3" s="2">
        <v>0.11840000000000001</v>
      </c>
      <c r="D3" s="2">
        <v>0.1212</v>
      </c>
      <c r="E3" s="2">
        <v>0.1166</v>
      </c>
      <c r="F3" s="2">
        <v>0.1178</v>
      </c>
      <c r="G3" s="2">
        <v>0.1176</v>
      </c>
      <c r="H3" s="2">
        <v>0.1186</v>
      </c>
      <c r="J3" s="4">
        <f>D3-C3</f>
        <v>2.7999999999999969E-3</v>
      </c>
      <c r="K3" s="4">
        <f>F3-E3</f>
        <v>1.2000000000000066E-3</v>
      </c>
      <c r="L3" s="4">
        <f>H3-G3</f>
        <v>1.0000000000000009E-3</v>
      </c>
    </row>
    <row r="4" spans="1:32" ht="17" x14ac:dyDescent="0.2">
      <c r="A4" s="29"/>
      <c r="B4" s="2" t="s">
        <v>8</v>
      </c>
      <c r="C4" s="2">
        <v>0.11849999999999999</v>
      </c>
      <c r="D4" s="2">
        <v>0.122</v>
      </c>
      <c r="E4" s="2">
        <v>0.1205</v>
      </c>
      <c r="F4" s="2">
        <v>0.1212</v>
      </c>
      <c r="G4" s="2">
        <v>0.11799999999999999</v>
      </c>
      <c r="H4" s="2">
        <v>0.1188</v>
      </c>
      <c r="J4" s="4">
        <f t="shared" ref="J4:J11" si="0">D4-C4</f>
        <v>3.5000000000000031E-3</v>
      </c>
      <c r="K4" s="4">
        <f t="shared" ref="K4:K11" si="1">F4-E4</f>
        <v>7.0000000000000617E-4</v>
      </c>
      <c r="L4" s="4">
        <f t="shared" ref="L4:L11" si="2">H4-G4</f>
        <v>8.0000000000000904E-4</v>
      </c>
      <c r="O4" s="14" t="s">
        <v>49</v>
      </c>
      <c r="P4" s="14" t="s">
        <v>51</v>
      </c>
      <c r="Q4" s="14" t="s">
        <v>50</v>
      </c>
      <c r="S4" s="15" t="s">
        <v>28</v>
      </c>
      <c r="T4" s="14" t="s">
        <v>49</v>
      </c>
      <c r="U4" s="14" t="s">
        <v>51</v>
      </c>
      <c r="V4" s="14" t="s">
        <v>50</v>
      </c>
      <c r="X4" s="15"/>
      <c r="Y4" s="14" t="s">
        <v>49</v>
      </c>
      <c r="Z4" s="14" t="s">
        <v>51</v>
      </c>
      <c r="AA4" s="14" t="s">
        <v>50</v>
      </c>
      <c r="AC4" s="7" t="s">
        <v>28</v>
      </c>
      <c r="AD4" s="14" t="s">
        <v>49</v>
      </c>
      <c r="AE4" s="14" t="s">
        <v>51</v>
      </c>
      <c r="AF4" s="14" t="s">
        <v>50</v>
      </c>
    </row>
    <row r="5" spans="1:32" x14ac:dyDescent="0.2">
      <c r="A5" s="29"/>
      <c r="B5" s="2" t="s">
        <v>9</v>
      </c>
      <c r="C5" s="2">
        <v>0.1203</v>
      </c>
      <c r="D5" s="2">
        <v>0.121</v>
      </c>
      <c r="E5" s="2">
        <v>0.1181</v>
      </c>
      <c r="F5" s="2">
        <v>0.1196</v>
      </c>
      <c r="G5" s="2">
        <v>0.1206</v>
      </c>
      <c r="H5" s="2">
        <v>0.12280000000000001</v>
      </c>
      <c r="J5" s="4">
        <f t="shared" si="0"/>
        <v>6.999999999999923E-4</v>
      </c>
      <c r="K5" s="4">
        <f t="shared" si="1"/>
        <v>1.5000000000000013E-3</v>
      </c>
      <c r="L5" s="4">
        <f t="shared" si="2"/>
        <v>2.2000000000000075E-3</v>
      </c>
      <c r="N5" s="2" t="s">
        <v>12</v>
      </c>
      <c r="O5" s="4">
        <f>AVERAGE(J3:J5)*10</f>
        <v>2.333333333333331E-2</v>
      </c>
      <c r="P5" s="4">
        <f>AVERAGE(K3:K5)*10</f>
        <v>1.1333333333333379E-2</v>
      </c>
      <c r="Q5" s="4">
        <f>AVERAGE(L3:L5)*10</f>
        <v>1.3333333333333391E-2</v>
      </c>
      <c r="S5" s="2" t="s">
        <v>12</v>
      </c>
      <c r="T5" s="2">
        <v>31.6</v>
      </c>
      <c r="U5" s="2">
        <v>51.06</v>
      </c>
      <c r="V5" s="2">
        <v>32.26</v>
      </c>
      <c r="X5" s="2" t="s">
        <v>12</v>
      </c>
      <c r="Y5" s="2">
        <f t="shared" ref="Y5:AA7" si="3">T5-9.3</f>
        <v>22.3</v>
      </c>
      <c r="Z5" s="2">
        <f t="shared" si="3"/>
        <v>41.760000000000005</v>
      </c>
      <c r="AA5" s="2">
        <f t="shared" si="3"/>
        <v>22.959999999999997</v>
      </c>
      <c r="AC5" s="2" t="s">
        <v>12</v>
      </c>
      <c r="AD5" s="4">
        <f>O5*Y5</f>
        <v>0.52033333333333287</v>
      </c>
      <c r="AE5" s="4">
        <f t="shared" ref="AD5:AF7" si="4">P5*Z5</f>
        <v>0.47328000000000198</v>
      </c>
      <c r="AF5" s="4">
        <f t="shared" si="4"/>
        <v>0.30613333333333465</v>
      </c>
    </row>
    <row r="6" spans="1:32" x14ac:dyDescent="0.2">
      <c r="A6" s="29"/>
      <c r="B6" s="2" t="s">
        <v>5</v>
      </c>
      <c r="C6" s="2">
        <v>0.1202</v>
      </c>
      <c r="D6" s="2">
        <v>0.1212</v>
      </c>
      <c r="E6" s="2">
        <v>0.1171</v>
      </c>
      <c r="F6" s="2">
        <v>0.1177</v>
      </c>
      <c r="G6" s="2">
        <v>0.11799999999999999</v>
      </c>
      <c r="H6" s="2">
        <v>0.1192</v>
      </c>
      <c r="J6" s="4">
        <f t="shared" si="0"/>
        <v>1.0000000000000009E-3</v>
      </c>
      <c r="K6" s="4">
        <f t="shared" si="1"/>
        <v>6.0000000000000331E-4</v>
      </c>
      <c r="L6" s="4">
        <f t="shared" si="2"/>
        <v>1.2000000000000066E-3</v>
      </c>
      <c r="N6" s="2" t="s">
        <v>13</v>
      </c>
      <c r="O6" s="4">
        <f>AVERAGE(J6:J8)*10</f>
        <v>1.2333333333333318E-2</v>
      </c>
      <c r="P6" s="4">
        <f>AVERAGE(K6:K8)*10</f>
        <v>8.6666666666666836E-3</v>
      </c>
      <c r="Q6" s="4">
        <f>AVERAGE(L6:L8)*10</f>
        <v>1.2000000000000021E-2</v>
      </c>
      <c r="S6" s="2" t="s">
        <v>13</v>
      </c>
      <c r="T6" s="2">
        <v>32.44</v>
      </c>
      <c r="U6" s="2">
        <v>49.72</v>
      </c>
      <c r="V6" s="2">
        <v>32.020000000000003</v>
      </c>
      <c r="X6" s="2" t="s">
        <v>13</v>
      </c>
      <c r="Y6" s="2">
        <f t="shared" si="3"/>
        <v>23.139999999999997</v>
      </c>
      <c r="Z6" s="2">
        <f t="shared" si="3"/>
        <v>40.42</v>
      </c>
      <c r="AA6" s="2">
        <f t="shared" si="3"/>
        <v>22.720000000000002</v>
      </c>
      <c r="AC6" s="2" t="s">
        <v>13</v>
      </c>
      <c r="AD6" s="4">
        <f t="shared" si="4"/>
        <v>0.28539333333333294</v>
      </c>
      <c r="AE6" s="4">
        <f t="shared" si="4"/>
        <v>0.35030666666666738</v>
      </c>
      <c r="AF6" s="4">
        <f t="shared" si="4"/>
        <v>0.27264000000000049</v>
      </c>
    </row>
    <row r="7" spans="1:32" x14ac:dyDescent="0.2">
      <c r="A7" s="29"/>
      <c r="B7" s="2" t="s">
        <v>3</v>
      </c>
      <c r="C7" s="2">
        <v>0.1182</v>
      </c>
      <c r="D7" s="2">
        <v>0.1198</v>
      </c>
      <c r="E7" s="2">
        <v>0.1201</v>
      </c>
      <c r="F7" s="2">
        <v>0.1216</v>
      </c>
      <c r="G7" s="2">
        <v>0.1174</v>
      </c>
      <c r="H7" s="2">
        <v>0.1188</v>
      </c>
      <c r="J7" s="4">
        <f t="shared" si="0"/>
        <v>1.6000000000000042E-3</v>
      </c>
      <c r="K7" s="4">
        <f t="shared" si="1"/>
        <v>1.5000000000000013E-3</v>
      </c>
      <c r="L7" s="4">
        <f t="shared" si="2"/>
        <v>1.3999999999999985E-3</v>
      </c>
      <c r="N7" s="2" t="s">
        <v>14</v>
      </c>
      <c r="O7" s="4">
        <f>AVERAGE(J9:J11)*10</f>
        <v>4.0000000000000218E-3</v>
      </c>
      <c r="P7" s="4">
        <f>AVERAGE(K9:K11)*10</f>
        <v>4.3333333333333652E-3</v>
      </c>
      <c r="Q7" s="4">
        <f>AVERAGE(L9:L11)*10</f>
        <v>7.0000000000000149E-3</v>
      </c>
      <c r="S7" s="2" t="s">
        <v>14</v>
      </c>
      <c r="T7" s="2">
        <v>30.92</v>
      </c>
      <c r="U7" s="2">
        <v>49.7</v>
      </c>
      <c r="V7" s="2">
        <v>31.9</v>
      </c>
      <c r="X7" s="2" t="s">
        <v>14</v>
      </c>
      <c r="Y7" s="2">
        <f t="shared" si="3"/>
        <v>21.62</v>
      </c>
      <c r="Z7" s="2">
        <f t="shared" si="3"/>
        <v>40.400000000000006</v>
      </c>
      <c r="AA7" s="2">
        <f t="shared" si="3"/>
        <v>22.599999999999998</v>
      </c>
      <c r="AC7" s="2" t="s">
        <v>14</v>
      </c>
      <c r="AD7" s="4">
        <f t="shared" si="4"/>
        <v>8.6480000000000473E-2</v>
      </c>
      <c r="AE7" s="4">
        <f t="shared" si="4"/>
        <v>0.17506666666666798</v>
      </c>
      <c r="AF7" s="4">
        <f t="shared" si="4"/>
        <v>0.15820000000000031</v>
      </c>
    </row>
    <row r="8" spans="1:32" x14ac:dyDescent="0.2">
      <c r="A8" s="29"/>
      <c r="B8" s="2" t="s">
        <v>10</v>
      </c>
      <c r="C8" s="2">
        <v>0.11840000000000001</v>
      </c>
      <c r="D8" s="2">
        <v>0.1195</v>
      </c>
      <c r="E8" s="2">
        <v>0.1176</v>
      </c>
      <c r="F8" s="2">
        <v>0.1181</v>
      </c>
      <c r="G8" s="2">
        <v>0.1186</v>
      </c>
      <c r="H8" s="2">
        <v>0.1196</v>
      </c>
      <c r="J8" s="4">
        <f t="shared" si="0"/>
        <v>1.0999999999999899E-3</v>
      </c>
      <c r="K8" s="4">
        <f t="shared" si="1"/>
        <v>5.0000000000000044E-4</v>
      </c>
      <c r="L8" s="4">
        <f t="shared" si="2"/>
        <v>1.0000000000000009E-3</v>
      </c>
      <c r="O8" s="6"/>
      <c r="P8" s="6"/>
      <c r="Q8" s="6"/>
    </row>
    <row r="9" spans="1:32" x14ac:dyDescent="0.2">
      <c r="A9" s="29"/>
      <c r="B9" s="2" t="s">
        <v>6</v>
      </c>
      <c r="C9" s="2">
        <v>0.11749999999999999</v>
      </c>
      <c r="D9" s="2">
        <v>0.1176</v>
      </c>
      <c r="E9" s="2">
        <v>0.11840000000000001</v>
      </c>
      <c r="F9" s="2">
        <v>0.1187</v>
      </c>
      <c r="G9" s="2">
        <v>0.1173</v>
      </c>
      <c r="H9" s="2">
        <v>0.1182</v>
      </c>
      <c r="J9" s="4">
        <f t="shared" si="0"/>
        <v>1.0000000000000286E-4</v>
      </c>
      <c r="K9" s="4">
        <f t="shared" si="1"/>
        <v>2.9999999999999472E-4</v>
      </c>
      <c r="L9" s="4">
        <f t="shared" si="2"/>
        <v>8.9999999999999802E-4</v>
      </c>
      <c r="O9" s="6"/>
      <c r="P9" s="6"/>
      <c r="Q9" s="6"/>
    </row>
    <row r="10" spans="1:32" x14ac:dyDescent="0.2">
      <c r="A10" s="29"/>
      <c r="B10" s="2" t="s">
        <v>7</v>
      </c>
      <c r="C10" s="2">
        <v>0.1192</v>
      </c>
      <c r="D10" s="2">
        <v>0.1193</v>
      </c>
      <c r="E10" s="2">
        <v>0.11799999999999999</v>
      </c>
      <c r="F10" s="2">
        <v>0.11840000000000001</v>
      </c>
      <c r="G10" s="2">
        <v>0.1169</v>
      </c>
      <c r="H10" s="2">
        <v>0.1178</v>
      </c>
      <c r="J10" s="4">
        <f t="shared" si="0"/>
        <v>1.0000000000000286E-4</v>
      </c>
      <c r="K10" s="4">
        <f t="shared" si="1"/>
        <v>4.0000000000001146E-4</v>
      </c>
      <c r="L10" s="4">
        <f t="shared" si="2"/>
        <v>8.9999999999999802E-4</v>
      </c>
      <c r="O10" s="28" t="s">
        <v>54</v>
      </c>
      <c r="P10" s="6"/>
      <c r="Q10" s="6"/>
    </row>
    <row r="11" spans="1:32" x14ac:dyDescent="0.2">
      <c r="A11" s="29"/>
      <c r="B11" s="2" t="s">
        <v>11</v>
      </c>
      <c r="C11" s="16">
        <v>0.1176</v>
      </c>
      <c r="D11" s="2">
        <v>0.1186</v>
      </c>
      <c r="E11" s="2">
        <v>0.1206</v>
      </c>
      <c r="F11" s="2">
        <v>0.1212</v>
      </c>
      <c r="G11" s="2">
        <v>0.1196</v>
      </c>
      <c r="H11" s="2">
        <v>0.11990000000000001</v>
      </c>
      <c r="J11" s="4">
        <f t="shared" si="0"/>
        <v>1.0000000000000009E-3</v>
      </c>
      <c r="K11" s="4">
        <f t="shared" si="1"/>
        <v>6.0000000000000331E-4</v>
      </c>
      <c r="L11" s="4">
        <f t="shared" si="2"/>
        <v>3.0000000000000859E-4</v>
      </c>
    </row>
    <row r="12" spans="1:32" x14ac:dyDescent="0.2">
      <c r="O12" s="5"/>
      <c r="P12" s="5"/>
      <c r="Q12" s="5"/>
    </row>
    <row r="13" spans="1:32" ht="25" customHeight="1" x14ac:dyDescent="0.2">
      <c r="A13" s="29" t="s">
        <v>2</v>
      </c>
      <c r="B13" s="2"/>
      <c r="C13" s="31" t="s">
        <v>49</v>
      </c>
      <c r="D13" s="31"/>
      <c r="E13" s="31" t="s">
        <v>51</v>
      </c>
      <c r="F13" s="31"/>
      <c r="G13" s="31" t="s">
        <v>50</v>
      </c>
      <c r="H13" s="31"/>
      <c r="J13" s="14" t="s">
        <v>49</v>
      </c>
      <c r="K13" s="14" t="s">
        <v>51</v>
      </c>
      <c r="L13" s="14" t="s">
        <v>50</v>
      </c>
      <c r="N13" s="34" t="s">
        <v>38</v>
      </c>
      <c r="O13" s="34"/>
      <c r="P13" s="34"/>
      <c r="Q13" s="34"/>
      <c r="R13" s="8"/>
      <c r="S13" s="34" t="s">
        <v>41</v>
      </c>
      <c r="T13" s="34"/>
      <c r="U13" s="34"/>
      <c r="V13" s="34"/>
      <c r="X13" s="34" t="s">
        <v>33</v>
      </c>
      <c r="Y13" s="34"/>
      <c r="Z13" s="34"/>
      <c r="AA13" s="34"/>
      <c r="AC13" s="32" t="s">
        <v>32</v>
      </c>
      <c r="AD13" s="40"/>
      <c r="AE13" s="40"/>
      <c r="AF13" s="40"/>
    </row>
    <row r="14" spans="1:32" ht="32" customHeight="1" x14ac:dyDescent="0.2">
      <c r="A14" s="29"/>
      <c r="B14" s="2"/>
      <c r="C14" s="7" t="s">
        <v>0</v>
      </c>
      <c r="D14" s="7" t="s">
        <v>1</v>
      </c>
      <c r="E14" s="7" t="s">
        <v>0</v>
      </c>
      <c r="F14" s="7" t="s">
        <v>1</v>
      </c>
      <c r="G14" s="7" t="s">
        <v>0</v>
      </c>
      <c r="H14" s="7" t="s">
        <v>1</v>
      </c>
      <c r="J14" s="35" t="s">
        <v>15</v>
      </c>
      <c r="K14" s="35"/>
      <c r="L14" s="35"/>
      <c r="N14" s="34"/>
      <c r="O14" s="34"/>
      <c r="P14" s="34"/>
      <c r="Q14" s="34"/>
      <c r="R14" s="8"/>
      <c r="S14" s="34"/>
      <c r="T14" s="34"/>
      <c r="U14" s="34"/>
      <c r="V14" s="34"/>
      <c r="X14" s="39"/>
      <c r="Y14" s="39"/>
      <c r="Z14" s="39"/>
      <c r="AA14" s="39"/>
      <c r="AC14" s="41"/>
      <c r="AD14" s="41"/>
      <c r="AE14" s="41"/>
      <c r="AF14" s="41"/>
    </row>
    <row r="15" spans="1:32" x14ac:dyDescent="0.2">
      <c r="A15" s="29"/>
      <c r="B15" s="2" t="s">
        <v>4</v>
      </c>
      <c r="C15" s="2">
        <v>0.1179</v>
      </c>
      <c r="D15" s="2">
        <v>0.1182</v>
      </c>
      <c r="E15" s="2">
        <v>0.1178</v>
      </c>
      <c r="F15" s="2">
        <v>0.1196</v>
      </c>
      <c r="G15" s="2">
        <v>0.1206</v>
      </c>
      <c r="H15" s="2">
        <v>0.1212</v>
      </c>
      <c r="J15" s="4">
        <f t="shared" ref="J15:J20" si="5">D15-C15</f>
        <v>2.9999999999999472E-4</v>
      </c>
      <c r="K15" s="4">
        <f t="shared" ref="K15:K20" si="6">F15-E15</f>
        <v>1.799999999999996E-3</v>
      </c>
      <c r="L15" s="4">
        <f t="shared" ref="L15:L20" si="7">H15-G15</f>
        <v>6.0000000000000331E-4</v>
      </c>
      <c r="N15" s="2"/>
      <c r="O15" s="14" t="s">
        <v>49</v>
      </c>
      <c r="P15" s="14" t="s">
        <v>51</v>
      </c>
      <c r="Q15" s="14" t="s">
        <v>50</v>
      </c>
      <c r="S15" s="2"/>
      <c r="T15" s="14" t="s">
        <v>49</v>
      </c>
      <c r="U15" s="14" t="s">
        <v>51</v>
      </c>
      <c r="V15" s="14" t="s">
        <v>50</v>
      </c>
      <c r="X15" s="7"/>
      <c r="Y15" s="14" t="s">
        <v>49</v>
      </c>
      <c r="Z15" s="14" t="s">
        <v>51</v>
      </c>
      <c r="AA15" s="14" t="s">
        <v>50</v>
      </c>
      <c r="AC15" s="2"/>
      <c r="AD15" s="14" t="s">
        <v>49</v>
      </c>
      <c r="AE15" s="14" t="s">
        <v>51</v>
      </c>
      <c r="AF15" s="14" t="s">
        <v>50</v>
      </c>
    </row>
    <row r="16" spans="1:32" x14ac:dyDescent="0.2">
      <c r="A16" s="29"/>
      <c r="B16" s="2" t="s">
        <v>8</v>
      </c>
      <c r="C16" s="2">
        <v>0.11899999999999999</v>
      </c>
      <c r="D16" s="2">
        <v>0.1191</v>
      </c>
      <c r="E16" s="2">
        <v>0.1203</v>
      </c>
      <c r="F16" s="2">
        <v>0.1207</v>
      </c>
      <c r="G16" s="2">
        <v>0.1182</v>
      </c>
      <c r="H16" s="2">
        <v>0.11840000000000001</v>
      </c>
      <c r="J16" s="4">
        <f t="shared" si="5"/>
        <v>1.0000000000000286E-4</v>
      </c>
      <c r="K16" s="4">
        <f t="shared" si="6"/>
        <v>3.9999999999999758E-4</v>
      </c>
      <c r="L16" s="4">
        <f t="shared" si="7"/>
        <v>2.0000000000000573E-4</v>
      </c>
      <c r="N16" s="2" t="s">
        <v>12</v>
      </c>
      <c r="O16" s="4">
        <f>AVERAGE(J15:J16)*10</f>
        <v>1.9999999999999879E-3</v>
      </c>
      <c r="P16" s="4">
        <f>AVERAGE(K15:K16)*10</f>
        <v>1.0999999999999968E-2</v>
      </c>
      <c r="Q16" s="4">
        <f>AVERAGE(L15:L16)*10</f>
        <v>4.0000000000000452E-3</v>
      </c>
      <c r="S16" s="2" t="s">
        <v>12</v>
      </c>
      <c r="T16" s="2">
        <v>1.04</v>
      </c>
      <c r="U16" s="2">
        <v>1.06</v>
      </c>
      <c r="V16" s="2">
        <v>1.06</v>
      </c>
      <c r="X16" s="2" t="s">
        <v>20</v>
      </c>
      <c r="Y16" s="4">
        <v>0</v>
      </c>
      <c r="Z16" s="4">
        <v>0</v>
      </c>
      <c r="AA16" s="4">
        <v>0</v>
      </c>
      <c r="AC16" s="2" t="s">
        <v>12</v>
      </c>
      <c r="AD16" s="4">
        <f>T16*O16</f>
        <v>2.0799999999999877E-3</v>
      </c>
      <c r="AE16" s="4">
        <f>U16*P16</f>
        <v>1.1659999999999967E-2</v>
      </c>
      <c r="AF16" s="4">
        <f>V16*Q16</f>
        <v>4.2400000000000484E-3</v>
      </c>
    </row>
    <row r="17" spans="1:32" x14ac:dyDescent="0.2">
      <c r="A17" s="29"/>
      <c r="B17" s="2" t="s">
        <v>5</v>
      </c>
      <c r="C17" s="2">
        <v>0.1205</v>
      </c>
      <c r="D17" s="2">
        <v>0.1232</v>
      </c>
      <c r="E17" s="2">
        <v>0.11799999999999999</v>
      </c>
      <c r="F17" s="2">
        <v>0.12759999999999999</v>
      </c>
      <c r="G17" s="2">
        <v>0.1205</v>
      </c>
      <c r="H17" s="2">
        <v>0.13270000000000001</v>
      </c>
      <c r="J17" s="4">
        <f t="shared" si="5"/>
        <v>2.7000000000000079E-3</v>
      </c>
      <c r="K17" s="4">
        <f t="shared" si="6"/>
        <v>9.5999999999999974E-3</v>
      </c>
      <c r="L17" s="4">
        <f t="shared" si="7"/>
        <v>1.2200000000000016E-2</v>
      </c>
      <c r="N17" s="2" t="s">
        <v>13</v>
      </c>
      <c r="O17" s="4">
        <f>AVERAGE(J17:J18)*10</f>
        <v>3.8499999999999993E-2</v>
      </c>
      <c r="P17" s="4">
        <f>AVERAGE(K17:K18)*10</f>
        <v>6.1999999999999972E-2</v>
      </c>
      <c r="Q17" s="4">
        <f>AVERAGE(L17:L18)*10</f>
        <v>0.10650000000000007</v>
      </c>
      <c r="S17" s="2" t="s">
        <v>13</v>
      </c>
      <c r="T17" s="2">
        <v>0.96</v>
      </c>
      <c r="U17" s="2">
        <v>1.02</v>
      </c>
      <c r="V17" s="2">
        <v>1.04</v>
      </c>
      <c r="X17" s="2" t="s">
        <v>13</v>
      </c>
      <c r="Y17" s="4">
        <f t="shared" ref="Y17:AA18" si="8">T17*O17</f>
        <v>3.6959999999999993E-2</v>
      </c>
      <c r="Z17" s="4">
        <f t="shared" si="8"/>
        <v>6.3239999999999977E-2</v>
      </c>
      <c r="AA17" s="4">
        <f t="shared" si="8"/>
        <v>0.11076000000000007</v>
      </c>
      <c r="AC17" s="2" t="s">
        <v>13</v>
      </c>
      <c r="AD17" s="4">
        <v>0</v>
      </c>
      <c r="AE17" s="4">
        <v>0</v>
      </c>
      <c r="AF17" s="4">
        <v>0</v>
      </c>
    </row>
    <row r="18" spans="1:32" x14ac:dyDescent="0.2">
      <c r="A18" s="29"/>
      <c r="B18" s="2" t="s">
        <v>3</v>
      </c>
      <c r="C18" s="2">
        <v>0.11840000000000001</v>
      </c>
      <c r="D18" s="2">
        <v>0.1234</v>
      </c>
      <c r="E18" s="2">
        <v>0.1197</v>
      </c>
      <c r="F18" s="2">
        <v>0.1225</v>
      </c>
      <c r="G18" s="2">
        <v>0.11840000000000001</v>
      </c>
      <c r="H18" s="2">
        <v>0.1275</v>
      </c>
      <c r="J18" s="4">
        <f t="shared" si="5"/>
        <v>4.9999999999999906E-3</v>
      </c>
      <c r="K18" s="4">
        <f t="shared" si="6"/>
        <v>2.7999999999999969E-3</v>
      </c>
      <c r="L18" s="4">
        <f t="shared" si="7"/>
        <v>9.099999999999997E-3</v>
      </c>
      <c r="N18" s="2" t="s">
        <v>14</v>
      </c>
      <c r="O18" s="4">
        <f>AVERAGE(J19:J20)*10</f>
        <v>0.14800000000000008</v>
      </c>
      <c r="P18" s="4">
        <f>AVERAGE(K19:K20)*10</f>
        <v>0.31749999999999989</v>
      </c>
      <c r="Q18" s="4">
        <f>AVERAGE(L19:L20)*10</f>
        <v>0.12549999999999992</v>
      </c>
      <c r="S18" s="2" t="s">
        <v>14</v>
      </c>
      <c r="T18" s="2">
        <v>0.88</v>
      </c>
      <c r="U18" s="2">
        <v>0.86</v>
      </c>
      <c r="V18" s="2">
        <v>0.9</v>
      </c>
      <c r="X18" s="2" t="s">
        <v>14</v>
      </c>
      <c r="Y18" s="4">
        <f t="shared" si="8"/>
        <v>0.13024000000000008</v>
      </c>
      <c r="Z18" s="4">
        <f t="shared" si="8"/>
        <v>0.2730499999999999</v>
      </c>
      <c r="AA18" s="4">
        <f t="shared" si="8"/>
        <v>0.11294999999999993</v>
      </c>
      <c r="AC18" s="2" t="s">
        <v>14</v>
      </c>
      <c r="AD18" s="4">
        <v>0</v>
      </c>
      <c r="AE18" s="4">
        <v>0</v>
      </c>
      <c r="AF18" s="4">
        <v>0</v>
      </c>
    </row>
    <row r="19" spans="1:32" x14ac:dyDescent="0.2">
      <c r="A19" s="29"/>
      <c r="B19" s="2" t="s">
        <v>6</v>
      </c>
      <c r="C19" s="2">
        <v>0.1206</v>
      </c>
      <c r="D19" s="2">
        <v>0.1246</v>
      </c>
      <c r="E19" s="2">
        <v>0.1178</v>
      </c>
      <c r="F19" s="2">
        <v>0.14299999999999999</v>
      </c>
      <c r="G19" s="2">
        <v>0.1177</v>
      </c>
      <c r="H19" s="2">
        <v>0.12959999999999999</v>
      </c>
      <c r="J19" s="4">
        <f t="shared" si="5"/>
        <v>4.0000000000000036E-3</v>
      </c>
      <c r="K19" s="4">
        <f t="shared" si="6"/>
        <v>2.5199999999999986E-2</v>
      </c>
      <c r="L19" s="4">
        <f t="shared" si="7"/>
        <v>1.1899999999999994E-2</v>
      </c>
    </row>
    <row r="20" spans="1:32" x14ac:dyDescent="0.2">
      <c r="A20" s="29"/>
      <c r="B20" s="2" t="s">
        <v>7</v>
      </c>
      <c r="C20" s="2">
        <v>0.121</v>
      </c>
      <c r="D20" s="2">
        <v>0.14660000000000001</v>
      </c>
      <c r="E20" s="2">
        <v>0.1173</v>
      </c>
      <c r="F20" s="2">
        <v>0.15559999999999999</v>
      </c>
      <c r="G20" s="2">
        <v>0.1179</v>
      </c>
      <c r="H20" s="2">
        <v>0.13109999999999999</v>
      </c>
      <c r="J20" s="4">
        <f t="shared" si="5"/>
        <v>2.5600000000000012E-2</v>
      </c>
      <c r="K20" s="4">
        <f t="shared" si="6"/>
        <v>3.8299999999999987E-2</v>
      </c>
      <c r="L20" s="4">
        <f t="shared" si="7"/>
        <v>1.319999999999999E-2</v>
      </c>
      <c r="O20" s="6"/>
      <c r="P20" s="6"/>
      <c r="Q20" s="6"/>
    </row>
    <row r="21" spans="1:32" ht="25" customHeight="1" x14ac:dyDescent="0.2">
      <c r="O21" s="6"/>
      <c r="P21" s="6"/>
      <c r="Q21" s="6"/>
      <c r="X21" s="34" t="s">
        <v>47</v>
      </c>
      <c r="Y21" s="34"/>
      <c r="Z21" s="34"/>
      <c r="AA21" s="34"/>
      <c r="AB21" s="18"/>
      <c r="AC21" s="18"/>
    </row>
    <row r="22" spans="1:32" ht="25" customHeight="1" x14ac:dyDescent="0.2">
      <c r="A22" s="29" t="s">
        <v>29</v>
      </c>
      <c r="B22" s="7"/>
      <c r="C22" s="31" t="s">
        <v>49</v>
      </c>
      <c r="D22" s="31"/>
      <c r="E22" s="31" t="s">
        <v>51</v>
      </c>
      <c r="F22" s="31"/>
      <c r="G22" s="31" t="s">
        <v>50</v>
      </c>
      <c r="H22" s="31"/>
      <c r="J22" s="36" t="s">
        <v>15</v>
      </c>
      <c r="K22" s="37"/>
      <c r="L22" s="38"/>
      <c r="X22" s="39"/>
      <c r="Y22" s="39"/>
      <c r="Z22" s="39"/>
      <c r="AA22" s="39"/>
      <c r="AB22" s="18"/>
      <c r="AC22" s="18"/>
    </row>
    <row r="23" spans="1:32" x14ac:dyDescent="0.2">
      <c r="A23" s="29"/>
      <c r="B23" s="7"/>
      <c r="C23" s="7" t="s">
        <v>23</v>
      </c>
      <c r="D23" s="7" t="s">
        <v>24</v>
      </c>
      <c r="E23" s="7" t="s">
        <v>23</v>
      </c>
      <c r="F23" s="7" t="s">
        <v>24</v>
      </c>
      <c r="G23" s="7" t="s">
        <v>23</v>
      </c>
      <c r="H23" s="7" t="s">
        <v>24</v>
      </c>
      <c r="J23" s="14" t="s">
        <v>49</v>
      </c>
      <c r="K23" s="14" t="s">
        <v>51</v>
      </c>
      <c r="L23" s="14" t="s">
        <v>50</v>
      </c>
      <c r="X23" s="7"/>
      <c r="Y23" s="14" t="s">
        <v>49</v>
      </c>
      <c r="Z23" s="14" t="s">
        <v>51</v>
      </c>
      <c r="AA23" s="14" t="s">
        <v>50</v>
      </c>
    </row>
    <row r="24" spans="1:32" x14ac:dyDescent="0.2">
      <c r="A24" s="29"/>
      <c r="B24" s="2" t="s">
        <v>21</v>
      </c>
      <c r="C24" s="2">
        <v>258.57</v>
      </c>
      <c r="D24" s="2">
        <v>258.45999999999998</v>
      </c>
      <c r="E24" s="2">
        <v>254.61</v>
      </c>
      <c r="F24" s="2">
        <v>254.46</v>
      </c>
      <c r="G24" s="2">
        <v>255.02</v>
      </c>
      <c r="H24" s="2">
        <v>254.93</v>
      </c>
      <c r="J24" s="2">
        <f>C24-D24</f>
        <v>0.11000000000001364</v>
      </c>
      <c r="K24" s="2">
        <f>E24-F24</f>
        <v>0.15000000000000568</v>
      </c>
      <c r="L24" s="2">
        <f>G24-H24</f>
        <v>9.0000000000003411E-2</v>
      </c>
      <c r="X24" s="2" t="s">
        <v>20</v>
      </c>
      <c r="Y24" s="4">
        <v>0</v>
      </c>
      <c r="Z24" s="4">
        <v>0</v>
      </c>
      <c r="AA24" s="4">
        <v>0</v>
      </c>
    </row>
    <row r="25" spans="1:32" x14ac:dyDescent="0.2">
      <c r="A25" s="29"/>
      <c r="B25" s="2" t="s">
        <v>22</v>
      </c>
      <c r="C25" s="2">
        <v>367.39</v>
      </c>
      <c r="D25" s="2">
        <v>367.28</v>
      </c>
      <c r="E25" s="2">
        <v>343.72</v>
      </c>
      <c r="F25" s="2">
        <v>343.65</v>
      </c>
      <c r="G25" s="2">
        <v>308.91000000000003</v>
      </c>
      <c r="H25" s="2">
        <v>308.82</v>
      </c>
      <c r="J25" s="2">
        <f>C25-D25</f>
        <v>0.11000000000001364</v>
      </c>
      <c r="K25" s="2">
        <f>E25-F25</f>
        <v>7.0000000000050022E-2</v>
      </c>
      <c r="L25" s="2">
        <f>G25-H25</f>
        <v>9.0000000000031832E-2</v>
      </c>
      <c r="X25" s="2" t="s">
        <v>13</v>
      </c>
      <c r="Y25" s="4">
        <f t="shared" ref="Y25:AA26" si="9">Y17+J24</f>
        <v>0.14696000000001364</v>
      </c>
      <c r="Z25" s="4">
        <f t="shared" si="9"/>
        <v>0.21324000000000565</v>
      </c>
      <c r="AA25" s="4">
        <f t="shared" si="9"/>
        <v>0.20076000000000349</v>
      </c>
    </row>
    <row r="26" spans="1:32" x14ac:dyDescent="0.2">
      <c r="B26" s="3"/>
      <c r="C26" s="3"/>
      <c r="D26" s="3"/>
      <c r="E26" s="3"/>
      <c r="F26" s="3"/>
      <c r="G26" s="3"/>
      <c r="H26" s="3"/>
      <c r="J26" s="3"/>
      <c r="K26" s="3"/>
      <c r="L26" s="3"/>
      <c r="X26" s="2" t="s">
        <v>14</v>
      </c>
      <c r="Y26" s="4">
        <f t="shared" si="9"/>
        <v>0.24024000000001372</v>
      </c>
      <c r="Z26" s="4">
        <f t="shared" si="9"/>
        <v>0.34305000000004993</v>
      </c>
      <c r="AA26" s="4">
        <f t="shared" si="9"/>
        <v>0.20295000000003177</v>
      </c>
    </row>
    <row r="27" spans="1:32" ht="26" x14ac:dyDescent="0.3">
      <c r="G27" s="30" t="s">
        <v>35</v>
      </c>
      <c r="H27" s="30"/>
      <c r="I27" s="30"/>
      <c r="J27" s="30"/>
      <c r="S27" s="3"/>
      <c r="T27" s="3"/>
      <c r="U27" s="3"/>
      <c r="V27" s="3"/>
    </row>
    <row r="28" spans="1:32" x14ac:dyDescent="0.2">
      <c r="A28" s="29" t="s">
        <v>31</v>
      </c>
      <c r="B28" s="7" t="s">
        <v>28</v>
      </c>
      <c r="C28" s="14" t="s">
        <v>49</v>
      </c>
      <c r="D28" s="14" t="s">
        <v>51</v>
      </c>
      <c r="E28" s="14" t="s">
        <v>50</v>
      </c>
      <c r="G28" s="7" t="s">
        <v>28</v>
      </c>
      <c r="H28" s="4" t="s">
        <v>19</v>
      </c>
      <c r="I28" s="4" t="s">
        <v>16</v>
      </c>
      <c r="J28" s="4" t="s">
        <v>17</v>
      </c>
    </row>
    <row r="29" spans="1:32" x14ac:dyDescent="0.2">
      <c r="A29" s="29"/>
      <c r="B29" s="10" t="s">
        <v>20</v>
      </c>
      <c r="C29" s="10">
        <v>0</v>
      </c>
      <c r="D29" s="10">
        <v>0</v>
      </c>
      <c r="E29" s="10">
        <v>0</v>
      </c>
      <c r="G29" s="2" t="s">
        <v>18</v>
      </c>
      <c r="H29" s="19">
        <f>AVERAGE(C29:E29)</f>
        <v>0</v>
      </c>
      <c r="I29" s="4">
        <f>STDEV(C29:E29)</f>
        <v>0</v>
      </c>
      <c r="J29" s="4">
        <f>I29/SQRT(3)</f>
        <v>0</v>
      </c>
    </row>
    <row r="30" spans="1:32" ht="25" customHeight="1" x14ac:dyDescent="0.2">
      <c r="A30" s="29"/>
      <c r="B30" s="2" t="s">
        <v>21</v>
      </c>
      <c r="C30" s="4">
        <f t="shared" ref="C30:E31" si="10">J24+Y17</f>
        <v>0.14696000000001364</v>
      </c>
      <c r="D30" s="4">
        <f t="shared" si="10"/>
        <v>0.21324000000000565</v>
      </c>
      <c r="E30" s="4">
        <f t="shared" si="10"/>
        <v>0.20076000000000349</v>
      </c>
      <c r="G30" s="2" t="s">
        <v>44</v>
      </c>
      <c r="H30" s="19">
        <f>AVERAGE(C30:E30)</f>
        <v>0.18698666666667427</v>
      </c>
      <c r="I30" s="4">
        <f>STDEV(C30:E30)</f>
        <v>3.5221273874364384E-2</v>
      </c>
      <c r="J30" s="4">
        <f>I30/SQRT(3)</f>
        <v>2.0335011952565811E-2</v>
      </c>
      <c r="L30" s="6" t="s">
        <v>28</v>
      </c>
    </row>
    <row r="31" spans="1:32" ht="48" customHeight="1" x14ac:dyDescent="0.2">
      <c r="A31" s="29"/>
      <c r="B31" s="2" t="s">
        <v>22</v>
      </c>
      <c r="C31" s="4">
        <f t="shared" si="10"/>
        <v>0.24024000000001372</v>
      </c>
      <c r="D31" s="4">
        <f t="shared" si="10"/>
        <v>0.34305000000004993</v>
      </c>
      <c r="E31" s="4">
        <f t="shared" si="10"/>
        <v>0.20295000000003177</v>
      </c>
      <c r="G31" s="2" t="s">
        <v>45</v>
      </c>
      <c r="H31" s="19">
        <f>AVERAGE(C31:E31)</f>
        <v>0.26208000000003179</v>
      </c>
      <c r="I31" s="4">
        <f>STDEV(C31:E31)</f>
        <v>7.2558539814427628E-2</v>
      </c>
      <c r="J31" s="4">
        <f>I31/SQRT(3)</f>
        <v>4.189169249386597E-2</v>
      </c>
    </row>
    <row r="32" spans="1:32" x14ac:dyDescent="0.2">
      <c r="Z32" s="20"/>
    </row>
    <row r="33" spans="1:26" x14ac:dyDescent="0.2">
      <c r="B33" s="7" t="s">
        <v>28</v>
      </c>
      <c r="C33" s="14" t="s">
        <v>49</v>
      </c>
      <c r="D33" s="14" t="s">
        <v>51</v>
      </c>
      <c r="E33" s="14" t="s">
        <v>50</v>
      </c>
      <c r="G33" s="7" t="s">
        <v>34</v>
      </c>
      <c r="H33" s="4" t="s">
        <v>19</v>
      </c>
      <c r="I33" s="4" t="s">
        <v>16</v>
      </c>
      <c r="J33" s="4" t="s">
        <v>17</v>
      </c>
      <c r="K33" s="1"/>
      <c r="L33" s="1"/>
      <c r="Z33" s="20"/>
    </row>
    <row r="34" spans="1:26" x14ac:dyDescent="0.2">
      <c r="B34" s="2" t="s">
        <v>12</v>
      </c>
      <c r="C34" s="4">
        <f>AD5+AD16</f>
        <v>0.52241333333333284</v>
      </c>
      <c r="D34" s="4">
        <f t="shared" ref="C34:E36" si="11">AE5+AE16</f>
        <v>0.48494000000000193</v>
      </c>
      <c r="E34" s="4">
        <f t="shared" si="11"/>
        <v>0.31037333333333467</v>
      </c>
      <c r="G34" s="2" t="s">
        <v>18</v>
      </c>
      <c r="H34" s="19">
        <f>AVERAGE(C34:E34)</f>
        <v>0.4392422222222232</v>
      </c>
      <c r="I34" s="4">
        <f>STDEV(C34:E34)</f>
        <v>0.11316561125346399</v>
      </c>
      <c r="J34" s="4">
        <f>I34/SQRT(3)</f>
        <v>6.5336196120195977E-2</v>
      </c>
      <c r="K34" s="1"/>
      <c r="L34" s="1"/>
      <c r="Z34" s="20"/>
    </row>
    <row r="35" spans="1:26" x14ac:dyDescent="0.2">
      <c r="B35" s="2" t="s">
        <v>13</v>
      </c>
      <c r="C35" s="4">
        <f t="shared" si="11"/>
        <v>0.28539333333333294</v>
      </c>
      <c r="D35" s="4">
        <f t="shared" si="11"/>
        <v>0.35030666666666738</v>
      </c>
      <c r="E35" s="4">
        <f t="shared" si="11"/>
        <v>0.27264000000000049</v>
      </c>
      <c r="G35" s="2" t="s">
        <v>44</v>
      </c>
      <c r="H35" s="19">
        <f>AVERAGE(C35:E35)</f>
        <v>0.30278000000000027</v>
      </c>
      <c r="I35" s="4">
        <f>STDEV(C35:E35)</f>
        <v>4.165032906365973E-2</v>
      </c>
      <c r="J35" s="4">
        <f>I35/SQRT(3)</f>
        <v>2.4046828696740439E-2</v>
      </c>
      <c r="K35" s="1"/>
      <c r="L35" s="1"/>
      <c r="Z35" s="20"/>
    </row>
    <row r="36" spans="1:26" x14ac:dyDescent="0.2">
      <c r="B36" s="2" t="s">
        <v>14</v>
      </c>
      <c r="C36" s="4">
        <f t="shared" si="11"/>
        <v>8.6480000000000473E-2</v>
      </c>
      <c r="D36" s="4">
        <f t="shared" si="11"/>
        <v>0.17506666666666798</v>
      </c>
      <c r="E36" s="4">
        <f t="shared" si="11"/>
        <v>0.15820000000000031</v>
      </c>
      <c r="G36" s="2" t="s">
        <v>45</v>
      </c>
      <c r="H36" s="19">
        <f>AVERAGE(C36:E36)</f>
        <v>0.13991555555555626</v>
      </c>
      <c r="I36" s="4">
        <f>STDEV(C36:E36)</f>
        <v>4.7038708095134586E-2</v>
      </c>
      <c r="J36" s="4">
        <f>I36/SQRT(3)</f>
        <v>2.7157810781058184E-2</v>
      </c>
      <c r="K36" s="1"/>
      <c r="L36" s="1"/>
      <c r="Z36" s="20"/>
    </row>
    <row r="37" spans="1:26" x14ac:dyDescent="0.2">
      <c r="C37" s="6"/>
      <c r="D37" s="6"/>
      <c r="E37" s="6"/>
      <c r="J37" s="1"/>
      <c r="K37" s="1"/>
      <c r="L37" s="1"/>
      <c r="Z37" s="20"/>
    </row>
    <row r="38" spans="1:26" x14ac:dyDescent="0.2">
      <c r="B38" s="7" t="s">
        <v>28</v>
      </c>
      <c r="C38" s="14" t="s">
        <v>49</v>
      </c>
      <c r="D38" s="14" t="s">
        <v>51</v>
      </c>
      <c r="E38" s="14" t="s">
        <v>50</v>
      </c>
      <c r="G38" s="7" t="s">
        <v>34</v>
      </c>
      <c r="H38" s="4" t="s">
        <v>19</v>
      </c>
      <c r="I38" s="4" t="s">
        <v>16</v>
      </c>
      <c r="J38" s="4" t="s">
        <v>17</v>
      </c>
      <c r="K38" s="1"/>
      <c r="L38" s="1"/>
      <c r="X38" s="1" t="s">
        <v>28</v>
      </c>
      <c r="Y38" s="1" t="s">
        <v>28</v>
      </c>
      <c r="Z38" s="20" t="s">
        <v>28</v>
      </c>
    </row>
    <row r="39" spans="1:26" x14ac:dyDescent="0.2">
      <c r="A39" s="6" t="s">
        <v>43</v>
      </c>
      <c r="B39" s="2" t="s">
        <v>12</v>
      </c>
      <c r="C39" s="21">
        <f>(C29/(C29+C34))*100</f>
        <v>0</v>
      </c>
      <c r="D39" s="21">
        <f t="shared" ref="D39:E41" si="12">(D29/(D29+D34))*100</f>
        <v>0</v>
      </c>
      <c r="E39" s="21">
        <f t="shared" si="12"/>
        <v>0</v>
      </c>
      <c r="G39" s="2" t="s">
        <v>18</v>
      </c>
      <c r="H39" s="21">
        <f>AVERAGE(C39:E39)</f>
        <v>0</v>
      </c>
      <c r="I39" s="4">
        <f>STDEV(C39:E39)</f>
        <v>0</v>
      </c>
      <c r="J39" s="4">
        <f>I39/SQRT(3)</f>
        <v>0</v>
      </c>
      <c r="K39" s="1"/>
      <c r="L39" s="1"/>
      <c r="X39" s="1" t="s">
        <v>28</v>
      </c>
      <c r="Y39" s="1" t="s">
        <v>28</v>
      </c>
      <c r="Z39" s="20" t="s">
        <v>28</v>
      </c>
    </row>
    <row r="40" spans="1:26" x14ac:dyDescent="0.2">
      <c r="B40" s="2" t="s">
        <v>13</v>
      </c>
      <c r="C40" s="21">
        <f>(C30/(C30+C35))*100</f>
        <v>33.990717468739099</v>
      </c>
      <c r="D40" s="21">
        <f t="shared" si="12"/>
        <v>37.838924904178874</v>
      </c>
      <c r="E40" s="21">
        <f t="shared" si="12"/>
        <v>42.408111533587203</v>
      </c>
      <c r="G40" s="2" t="s">
        <v>44</v>
      </c>
      <c r="H40" s="21">
        <f>AVERAGE(C40:E40)</f>
        <v>38.079251302168394</v>
      </c>
      <c r="I40" s="4">
        <f>STDEV(C40:E40)</f>
        <v>4.2138400887922858</v>
      </c>
      <c r="J40" s="4">
        <f>I40/SQRT(3)</f>
        <v>2.432861709586263</v>
      </c>
      <c r="K40" s="1"/>
      <c r="L40" s="1"/>
      <c r="X40" s="1" t="s">
        <v>28</v>
      </c>
      <c r="Y40" s="1" t="s">
        <v>28</v>
      </c>
      <c r="Z40" s="20" t="s">
        <v>28</v>
      </c>
    </row>
    <row r="41" spans="1:26" x14ac:dyDescent="0.2">
      <c r="B41" s="2" t="s">
        <v>14</v>
      </c>
      <c r="C41" s="21">
        <f>(C31/(C31+C36))*100</f>
        <v>73.530852105779644</v>
      </c>
      <c r="D41" s="21">
        <f t="shared" si="12"/>
        <v>66.210956348315904</v>
      </c>
      <c r="E41" s="21">
        <f t="shared" si="12"/>
        <v>56.195486639904125</v>
      </c>
      <c r="G41" s="2" t="s">
        <v>45</v>
      </c>
      <c r="H41" s="21">
        <f>AVERAGE(C41:E41)</f>
        <v>65.312431697999884</v>
      </c>
      <c r="I41" s="4">
        <f>STDEV(C41:E41)</f>
        <v>8.7025418050870567</v>
      </c>
      <c r="J41" s="4">
        <f>I41/SQRT(3)</f>
        <v>5.0244148538009838</v>
      </c>
      <c r="K41" s="1"/>
      <c r="L41" s="1"/>
      <c r="X41" s="1" t="s">
        <v>28</v>
      </c>
      <c r="Y41" s="1" t="s">
        <v>28</v>
      </c>
      <c r="Z41" s="20" t="s">
        <v>28</v>
      </c>
    </row>
    <row r="42" spans="1:26" x14ac:dyDescent="0.2">
      <c r="J42" s="1"/>
      <c r="K42" s="1"/>
      <c r="L42" s="1"/>
      <c r="X42" s="1" t="s">
        <v>28</v>
      </c>
      <c r="Y42" s="1" t="s">
        <v>28</v>
      </c>
      <c r="Z42" s="20" t="s">
        <v>28</v>
      </c>
    </row>
    <row r="43" spans="1:26" x14ac:dyDescent="0.2">
      <c r="J43" s="1"/>
      <c r="K43" s="1"/>
      <c r="L43" s="1"/>
      <c r="X43" s="1" t="s">
        <v>28</v>
      </c>
      <c r="Y43" s="1" t="s">
        <v>28</v>
      </c>
      <c r="Z43" s="20" t="s">
        <v>28</v>
      </c>
    </row>
    <row r="44" spans="1:26" x14ac:dyDescent="0.2">
      <c r="B44" s="13"/>
      <c r="C44" s="13"/>
      <c r="D44" s="13"/>
      <c r="J44" s="1"/>
      <c r="K44" s="1"/>
      <c r="L44" s="1"/>
    </row>
    <row r="45" spans="1:26" x14ac:dyDescent="0.2">
      <c r="J45" s="1"/>
      <c r="K45" s="1"/>
    </row>
    <row r="46" spans="1:26" x14ac:dyDescent="0.2">
      <c r="J46" s="1"/>
      <c r="K46" s="1"/>
      <c r="L46" s="1"/>
    </row>
    <row r="47" spans="1:26" x14ac:dyDescent="0.2">
      <c r="J47" s="1"/>
      <c r="K47" s="1"/>
    </row>
    <row r="48" spans="1:26" x14ac:dyDescent="0.2">
      <c r="J48" s="1"/>
      <c r="K48" s="1"/>
    </row>
    <row r="49" spans="2:2" x14ac:dyDescent="0.2">
      <c r="B49" s="6"/>
    </row>
    <row r="50" spans="2:2" x14ac:dyDescent="0.2">
      <c r="B50" s="6"/>
    </row>
    <row r="51" spans="2:2" x14ac:dyDescent="0.2">
      <c r="B51" s="6"/>
    </row>
    <row r="52" spans="2:2" x14ac:dyDescent="0.2">
      <c r="B52" s="6"/>
    </row>
    <row r="53" spans="2:2" x14ac:dyDescent="0.2">
      <c r="B53" s="6"/>
    </row>
    <row r="54" spans="2:2" x14ac:dyDescent="0.2">
      <c r="B54" s="6"/>
    </row>
  </sheetData>
  <mergeCells count="26">
    <mergeCell ref="AC1:AF2"/>
    <mergeCell ref="N13:Q14"/>
    <mergeCell ref="S13:V14"/>
    <mergeCell ref="J14:L14"/>
    <mergeCell ref="J22:L22"/>
    <mergeCell ref="N1:Q2"/>
    <mergeCell ref="S1:V2"/>
    <mergeCell ref="X1:AA2"/>
    <mergeCell ref="J2:L2"/>
    <mergeCell ref="X13:AA14"/>
    <mergeCell ref="AC13:AF14"/>
    <mergeCell ref="X21:AA22"/>
    <mergeCell ref="C1:D1"/>
    <mergeCell ref="E1:F1"/>
    <mergeCell ref="G1:H1"/>
    <mergeCell ref="E22:F22"/>
    <mergeCell ref="G22:H22"/>
    <mergeCell ref="C13:D13"/>
    <mergeCell ref="E13:F13"/>
    <mergeCell ref="G13:H13"/>
    <mergeCell ref="C22:D22"/>
    <mergeCell ref="A28:A31"/>
    <mergeCell ref="A22:A25"/>
    <mergeCell ref="A2:A11"/>
    <mergeCell ref="A13:A20"/>
    <mergeCell ref="G27:J27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45"/>
  <sheetViews>
    <sheetView workbookViewId="0">
      <selection sqref="A1:XFD1048576"/>
    </sheetView>
  </sheetViews>
  <sheetFormatPr baseColWidth="10" defaultRowHeight="16" x14ac:dyDescent="0.2"/>
  <cols>
    <col min="1" max="1" width="24.33203125" style="1" bestFit="1" customWidth="1"/>
    <col min="2" max="2" width="10.6640625" style="1" bestFit="1" customWidth="1"/>
    <col min="3" max="3" width="20.5" style="1" bestFit="1" customWidth="1"/>
    <col min="4" max="4" width="21.5" style="1" bestFit="1" customWidth="1"/>
    <col min="5" max="5" width="20.1640625" style="1" bestFit="1" customWidth="1"/>
    <col min="6" max="6" width="13.6640625" style="1" bestFit="1" customWidth="1"/>
    <col min="7" max="8" width="9.33203125" style="1" bestFit="1" customWidth="1"/>
    <col min="9" max="9" width="11.6640625" style="1" bestFit="1" customWidth="1"/>
    <col min="10" max="10" width="14" style="1" bestFit="1" customWidth="1"/>
    <col min="11" max="11" width="10.5" style="1" bestFit="1" customWidth="1"/>
    <col min="12" max="12" width="14" style="1" bestFit="1" customWidth="1"/>
    <col min="13" max="13" width="1.6640625" style="1" bestFit="1" customWidth="1"/>
    <col min="14" max="14" width="20.33203125" style="1" bestFit="1" customWidth="1"/>
    <col min="15" max="15" width="21.5" style="1" bestFit="1" customWidth="1"/>
    <col min="16" max="16" width="20.1640625" style="1" bestFit="1" customWidth="1"/>
    <col min="17" max="17" width="13.6640625" style="1" bestFit="1" customWidth="1"/>
    <col min="18" max="18" width="7.6640625" style="1" bestFit="1" customWidth="1"/>
    <col min="19" max="19" width="24.6640625" style="1" customWidth="1"/>
    <col min="20" max="20" width="9.5" style="1" bestFit="1" customWidth="1"/>
    <col min="21" max="21" width="20.33203125" style="1" bestFit="1" customWidth="1"/>
    <col min="22" max="22" width="21.5" style="1" bestFit="1" customWidth="1"/>
    <col min="23" max="23" width="20.1640625" style="1" bestFit="1" customWidth="1"/>
    <col min="24" max="24" width="13.6640625" style="1" bestFit="1" customWidth="1"/>
    <col min="25" max="25" width="6.6640625" style="1" bestFit="1" customWidth="1"/>
    <col min="26" max="26" width="10.83203125" style="1"/>
    <col min="27" max="27" width="9.5" style="1" bestFit="1" customWidth="1"/>
    <col min="28" max="28" width="20.33203125" style="1" bestFit="1" customWidth="1"/>
    <col min="29" max="29" width="21.5" style="1" bestFit="1" customWidth="1"/>
    <col min="30" max="30" width="20.1640625" style="1" bestFit="1" customWidth="1"/>
    <col min="31" max="31" width="13.6640625" style="1" bestFit="1" customWidth="1"/>
    <col min="32" max="32" width="7.6640625" style="1" bestFit="1" customWidth="1"/>
    <col min="33" max="33" width="10.83203125" style="1"/>
    <col min="34" max="34" width="9.5" style="1" bestFit="1" customWidth="1"/>
    <col min="35" max="35" width="20.33203125" style="1" bestFit="1" customWidth="1"/>
    <col min="36" max="36" width="21.5" style="1" bestFit="1" customWidth="1"/>
    <col min="37" max="37" width="20.1640625" style="1" bestFit="1" customWidth="1"/>
    <col min="38" max="38" width="13.6640625" style="1" bestFit="1" customWidth="1"/>
    <col min="39" max="39" width="7.6640625" style="1" bestFit="1" customWidth="1"/>
    <col min="40" max="40" width="1.6640625" style="1" bestFit="1" customWidth="1"/>
    <col min="41" max="41" width="9.5" style="1" bestFit="1" customWidth="1"/>
    <col min="42" max="42" width="20.33203125" style="1" bestFit="1" customWidth="1"/>
    <col min="43" max="43" width="21.5" style="1" bestFit="1" customWidth="1"/>
    <col min="44" max="44" width="20.1640625" style="1" bestFit="1" customWidth="1"/>
    <col min="45" max="45" width="13.6640625" style="1" bestFit="1" customWidth="1"/>
    <col min="46" max="46" width="6.6640625" style="1" bestFit="1" customWidth="1"/>
    <col min="47" max="16384" width="10.83203125" style="1"/>
  </cols>
  <sheetData>
    <row r="1" spans="1:46" ht="26" x14ac:dyDescent="0.2">
      <c r="A1" s="13"/>
      <c r="B1" s="2"/>
      <c r="C1" s="31" t="s">
        <v>52</v>
      </c>
      <c r="D1" s="31"/>
      <c r="E1" s="31" t="s">
        <v>51</v>
      </c>
      <c r="F1" s="31"/>
      <c r="G1" s="31" t="s">
        <v>50</v>
      </c>
      <c r="H1" s="31"/>
      <c r="I1" s="31" t="s">
        <v>55</v>
      </c>
      <c r="J1" s="31"/>
      <c r="K1" s="31" t="s">
        <v>46</v>
      </c>
      <c r="L1" s="31"/>
      <c r="N1" s="14" t="s">
        <v>49</v>
      </c>
      <c r="O1" s="14" t="s">
        <v>51</v>
      </c>
      <c r="P1" s="14" t="s">
        <v>50</v>
      </c>
      <c r="Q1" s="7" t="s">
        <v>55</v>
      </c>
      <c r="R1" s="7" t="s">
        <v>46</v>
      </c>
      <c r="T1" s="34" t="s">
        <v>37</v>
      </c>
      <c r="U1" s="34"/>
      <c r="V1" s="34"/>
      <c r="W1" s="34"/>
      <c r="X1" s="11"/>
      <c r="Y1" s="11"/>
      <c r="Z1" s="8"/>
      <c r="AA1" s="32" t="s">
        <v>36</v>
      </c>
      <c r="AB1" s="32"/>
      <c r="AC1" s="32"/>
      <c r="AD1" s="32"/>
      <c r="AE1" s="22"/>
      <c r="AF1" s="22"/>
      <c r="AG1" s="8"/>
      <c r="AH1" s="32" t="s">
        <v>25</v>
      </c>
      <c r="AI1" s="32"/>
      <c r="AJ1" s="32"/>
      <c r="AK1" s="32"/>
      <c r="AL1" s="22"/>
      <c r="AM1" s="22"/>
      <c r="AN1" s="8"/>
      <c r="AO1" s="32" t="s">
        <v>30</v>
      </c>
      <c r="AP1" s="33"/>
      <c r="AQ1" s="33"/>
      <c r="AR1" s="33"/>
    </row>
    <row r="2" spans="1:46" ht="26" x14ac:dyDescent="0.2">
      <c r="A2" s="29" t="s">
        <v>39</v>
      </c>
      <c r="B2" s="2"/>
      <c r="C2" s="7" t="s">
        <v>0</v>
      </c>
      <c r="D2" s="7" t="s">
        <v>1</v>
      </c>
      <c r="E2" s="7" t="s">
        <v>0</v>
      </c>
      <c r="F2" s="7" t="s">
        <v>1</v>
      </c>
      <c r="G2" s="7" t="s">
        <v>0</v>
      </c>
      <c r="H2" s="7" t="s">
        <v>1</v>
      </c>
      <c r="I2" s="7" t="s">
        <v>0</v>
      </c>
      <c r="J2" s="7" t="s">
        <v>1</v>
      </c>
      <c r="K2" s="7" t="s">
        <v>0</v>
      </c>
      <c r="L2" s="7" t="s">
        <v>1</v>
      </c>
      <c r="N2" s="35" t="s">
        <v>15</v>
      </c>
      <c r="O2" s="35"/>
      <c r="P2" s="35"/>
      <c r="Q2" s="35"/>
      <c r="R2" s="35"/>
      <c r="T2" s="34"/>
      <c r="U2" s="34"/>
      <c r="V2" s="34"/>
      <c r="W2" s="34"/>
      <c r="X2" s="11"/>
      <c r="Y2" s="11"/>
      <c r="Z2" s="8"/>
      <c r="AA2" s="32"/>
      <c r="AB2" s="32"/>
      <c r="AC2" s="32"/>
      <c r="AD2" s="32"/>
      <c r="AE2" s="22"/>
      <c r="AF2" s="22"/>
      <c r="AG2" s="8"/>
      <c r="AH2" s="32"/>
      <c r="AI2" s="32"/>
      <c r="AJ2" s="32"/>
      <c r="AK2" s="32"/>
      <c r="AL2" s="22"/>
      <c r="AM2" s="22"/>
      <c r="AN2" s="8"/>
      <c r="AO2" s="33"/>
      <c r="AP2" s="33"/>
      <c r="AQ2" s="33"/>
      <c r="AR2" s="33"/>
    </row>
    <row r="3" spans="1:46" x14ac:dyDescent="0.2">
      <c r="A3" s="29"/>
      <c r="B3" s="2" t="s">
        <v>4</v>
      </c>
      <c r="C3" s="2">
        <v>0.11839</v>
      </c>
      <c r="D3" s="2">
        <v>0.12218</v>
      </c>
      <c r="E3" s="2">
        <v>0.11700000000000001</v>
      </c>
      <c r="F3" s="2">
        <v>0.11729000000000001</v>
      </c>
      <c r="G3" s="2">
        <v>0.12048</v>
      </c>
      <c r="H3" s="2">
        <v>0.12077</v>
      </c>
      <c r="I3" s="2">
        <v>0.11672399999999999</v>
      </c>
      <c r="J3" s="2">
        <v>4.4476000000000002E-2</v>
      </c>
      <c r="K3" s="2">
        <v>0.11669</v>
      </c>
      <c r="L3" s="2">
        <v>4.3498545454545456E-2</v>
      </c>
      <c r="N3" s="23">
        <f t="shared" ref="N3:N11" si="0">D3-C3</f>
        <v>3.7900000000000017E-3</v>
      </c>
      <c r="O3" s="23">
        <f t="shared" ref="O3:O11" si="1">F3-E3</f>
        <v>2.8999999999999859E-4</v>
      </c>
      <c r="P3" s="23">
        <f t="shared" ref="P3:P11" si="2">H3-G3</f>
        <v>2.8999999999999859E-4</v>
      </c>
      <c r="Q3" s="23">
        <v>2.0309090909090932E-3</v>
      </c>
      <c r="R3" s="23">
        <v>1.065818181818183E-3</v>
      </c>
    </row>
    <row r="4" spans="1:46" ht="17" x14ac:dyDescent="0.2">
      <c r="A4" s="29"/>
      <c r="B4" s="2" t="s">
        <v>8</v>
      </c>
      <c r="C4" s="2">
        <v>0.12051000000000001</v>
      </c>
      <c r="D4" s="2">
        <v>0.12175999999999999</v>
      </c>
      <c r="E4" s="2">
        <v>0.12017</v>
      </c>
      <c r="F4" s="2">
        <v>0.12098</v>
      </c>
      <c r="G4" s="2">
        <v>0.11482000000000001</v>
      </c>
      <c r="H4" s="2">
        <v>0.1154</v>
      </c>
      <c r="I4" s="2">
        <v>0.120159</v>
      </c>
      <c r="J4" s="2">
        <v>4.4144363636363641E-2</v>
      </c>
      <c r="K4" s="2">
        <v>0.119542</v>
      </c>
      <c r="L4" s="2">
        <v>4.4952727272727269E-2</v>
      </c>
      <c r="N4" s="23">
        <f t="shared" si="0"/>
        <v>1.2499999999999872E-3</v>
      </c>
      <c r="O4" s="23">
        <f t="shared" si="1"/>
        <v>8.1000000000000516E-4</v>
      </c>
      <c r="P4" s="23">
        <f t="shared" si="2"/>
        <v>5.7999999999999718E-4</v>
      </c>
      <c r="Q4" s="23">
        <v>4.501818181818193E-4</v>
      </c>
      <c r="R4" s="23">
        <v>1.4829090909090903E-3</v>
      </c>
      <c r="U4" s="7" t="s">
        <v>49</v>
      </c>
      <c r="V4" s="7" t="s">
        <v>51</v>
      </c>
      <c r="W4" s="7" t="s">
        <v>50</v>
      </c>
      <c r="X4" s="7" t="s">
        <v>55</v>
      </c>
      <c r="Y4" s="7" t="s">
        <v>46</v>
      </c>
      <c r="AA4" s="15" t="s">
        <v>28</v>
      </c>
      <c r="AB4" s="7" t="s">
        <v>49</v>
      </c>
      <c r="AC4" s="7" t="s">
        <v>51</v>
      </c>
      <c r="AD4" s="7" t="s">
        <v>50</v>
      </c>
      <c r="AE4" s="7" t="s">
        <v>55</v>
      </c>
      <c r="AF4" s="7" t="s">
        <v>46</v>
      </c>
      <c r="AH4" s="15"/>
      <c r="AI4" s="7" t="s">
        <v>49</v>
      </c>
      <c r="AJ4" s="7" t="s">
        <v>51</v>
      </c>
      <c r="AK4" s="7" t="s">
        <v>50</v>
      </c>
      <c r="AL4" s="7" t="s">
        <v>55</v>
      </c>
      <c r="AM4" s="7" t="s">
        <v>46</v>
      </c>
      <c r="AO4" s="7" t="s">
        <v>28</v>
      </c>
      <c r="AP4" s="7" t="s">
        <v>49</v>
      </c>
      <c r="AQ4" s="7" t="s">
        <v>51</v>
      </c>
      <c r="AR4" s="7" t="s">
        <v>50</v>
      </c>
      <c r="AS4" s="7" t="s">
        <v>55</v>
      </c>
      <c r="AT4" s="7" t="s">
        <v>46</v>
      </c>
    </row>
    <row r="5" spans="1:46" ht="19" x14ac:dyDescent="0.25">
      <c r="A5" s="29"/>
      <c r="B5" s="2" t="s">
        <v>9</v>
      </c>
      <c r="C5" s="2">
        <v>0.11762</v>
      </c>
      <c r="D5" s="2">
        <v>0.12027</v>
      </c>
      <c r="E5" s="12">
        <v>0.1203</v>
      </c>
      <c r="F5" s="12">
        <v>0.123</v>
      </c>
      <c r="G5" s="12">
        <v>0.11612</v>
      </c>
      <c r="H5" s="12">
        <v>0.11692</v>
      </c>
      <c r="I5" s="12">
        <v>0.119919</v>
      </c>
      <c r="J5" s="12">
        <v>4.415781818181818E-2</v>
      </c>
      <c r="K5" s="12">
        <v>0.121352</v>
      </c>
      <c r="L5" s="12">
        <v>4.5766181818181817E-2</v>
      </c>
      <c r="N5" s="23">
        <f t="shared" si="0"/>
        <v>2.6499999999999996E-3</v>
      </c>
      <c r="O5" s="23">
        <f t="shared" si="1"/>
        <v>2.6999999999999941E-3</v>
      </c>
      <c r="P5" s="23">
        <f t="shared" si="2"/>
        <v>7.9999999999999516E-4</v>
      </c>
      <c r="Q5" s="23">
        <v>5.5090909090909181E-4</v>
      </c>
      <c r="R5" s="23">
        <v>1.6381818181818166E-3</v>
      </c>
      <c r="T5" s="2" t="s">
        <v>12</v>
      </c>
      <c r="U5" s="4">
        <f>(AVERAGE(N3:N5))*5</f>
        <v>1.2816666666666646E-2</v>
      </c>
      <c r="V5" s="4">
        <f>(AVERAGE(O3:O5))*5</f>
        <v>6.3333333333333297E-3</v>
      </c>
      <c r="W5" s="4">
        <f>(AVERAGE(P3:P5))*5</f>
        <v>2.7833333333333182E-3</v>
      </c>
      <c r="X5" s="4">
        <f t="shared" ref="X5:Y5" si="3">(AVERAGE(Q3:Q5))*5</f>
        <v>5.0533333333333411E-3</v>
      </c>
      <c r="Y5" s="4">
        <f t="shared" si="3"/>
        <v>6.9781818181818174E-3</v>
      </c>
      <c r="AA5" s="2" t="s">
        <v>12</v>
      </c>
      <c r="AB5" s="2">
        <f>56.5-9.3</f>
        <v>47.2</v>
      </c>
      <c r="AC5" s="2">
        <f>(57.58-9.26)+(27.62-9.28)</f>
        <v>66.66</v>
      </c>
      <c r="AD5" s="2">
        <f>42.1-9.24</f>
        <v>32.86</v>
      </c>
      <c r="AE5" s="4">
        <f>49.32-9.06</f>
        <v>40.26</v>
      </c>
      <c r="AF5" s="4">
        <f>57.58-9.26</f>
        <v>48.32</v>
      </c>
      <c r="AH5" s="2" t="s">
        <v>12</v>
      </c>
      <c r="AI5" s="2">
        <f>56.5-9.3</f>
        <v>47.2</v>
      </c>
      <c r="AJ5" s="2">
        <f>(57.58-9.26)+(27.62-9.28)</f>
        <v>66.66</v>
      </c>
      <c r="AK5" s="2">
        <f>42.1-9.24</f>
        <v>32.86</v>
      </c>
      <c r="AL5" s="4">
        <f>49.32-9.06</f>
        <v>40.26</v>
      </c>
      <c r="AM5" s="4">
        <f>57.58-9.26</f>
        <v>48.32</v>
      </c>
      <c r="AN5" s="9" t="s">
        <v>28</v>
      </c>
      <c r="AO5" s="2" t="s">
        <v>12</v>
      </c>
      <c r="AP5" s="4">
        <f>(U5*AI5)+AP16</f>
        <v>0.61347966666666576</v>
      </c>
      <c r="AQ5" s="4">
        <f>(V5*AJ5)+AQ16</f>
        <v>0.42979399999999973</v>
      </c>
      <c r="AR5" s="4">
        <f>(W5*AK5)+AR16</f>
        <v>9.4595333333332893E-2</v>
      </c>
      <c r="AS5" s="4">
        <f>(X5*AL5)+AS16</f>
        <v>0.20869920000000031</v>
      </c>
      <c r="AT5" s="4">
        <f>(Y5*AM5)+AT16</f>
        <v>0.34303934545454545</v>
      </c>
    </row>
    <row r="6" spans="1:46" ht="19" x14ac:dyDescent="0.25">
      <c r="A6" s="29"/>
      <c r="B6" s="2" t="s">
        <v>5</v>
      </c>
      <c r="C6" s="2">
        <v>0.11792</v>
      </c>
      <c r="D6" s="2">
        <v>0.11798</v>
      </c>
      <c r="E6" s="12">
        <v>0.11564000000000001</v>
      </c>
      <c r="F6" s="12">
        <v>0.11586</v>
      </c>
      <c r="G6" s="12">
        <v>0.1217</v>
      </c>
      <c r="H6" s="12">
        <v>0.12218</v>
      </c>
      <c r="I6" s="12">
        <v>0.120062</v>
      </c>
      <c r="J6" s="12">
        <v>4.3853090909090904E-2</v>
      </c>
      <c r="K6" s="12">
        <v>0.115865</v>
      </c>
      <c r="L6" s="12">
        <v>4.3293818181818183E-2</v>
      </c>
      <c r="N6" s="23">
        <f t="shared" si="0"/>
        <v>6.0000000000004494E-5</v>
      </c>
      <c r="O6" s="23">
        <f t="shared" si="1"/>
        <v>2.1999999999999797E-4</v>
      </c>
      <c r="P6" s="23">
        <f t="shared" si="2"/>
        <v>4.7999999999999432E-4</v>
      </c>
      <c r="Q6" s="23">
        <v>1.941818181818156E-4</v>
      </c>
      <c r="R6" s="23">
        <v>1.1610909090909096E-3</v>
      </c>
      <c r="T6" s="2" t="s">
        <v>13</v>
      </c>
      <c r="U6" s="4">
        <f>(AVERAGE(N6:N8))*5</f>
        <v>1.8500000000000231E-3</v>
      </c>
      <c r="V6" s="4">
        <f>(AVERAGE(O6:O8))*5</f>
        <v>2.4333333333333381E-3</v>
      </c>
      <c r="W6" s="4">
        <f>(AVERAGE(P6:P8))*5</f>
        <v>8.3333333333333415E-4</v>
      </c>
      <c r="X6" s="4">
        <f t="shared" ref="X6:Y6" si="4">(AVERAGE(Q6:Q8))*5</f>
        <v>1.1769696969696883E-3</v>
      </c>
      <c r="Y6" s="4">
        <f t="shared" si="4"/>
        <v>5.713333333333335E-3</v>
      </c>
      <c r="AA6" s="2" t="s">
        <v>13</v>
      </c>
      <c r="AB6" s="2">
        <f>54.94-9.3</f>
        <v>45.64</v>
      </c>
      <c r="AC6" s="2">
        <f>(34.6-9.26)+(50.26-9.28)</f>
        <v>66.319999999999993</v>
      </c>
      <c r="AD6" s="2">
        <f>40.08-9.24</f>
        <v>30.839999999999996</v>
      </c>
      <c r="AE6" s="4">
        <f>50.06-9.06</f>
        <v>41</v>
      </c>
      <c r="AF6" s="4">
        <f>50.26-9.26</f>
        <v>41</v>
      </c>
      <c r="AH6" s="2" t="s">
        <v>13</v>
      </c>
      <c r="AI6" s="2">
        <f>54.94-9.3</f>
        <v>45.64</v>
      </c>
      <c r="AJ6" s="2">
        <f>(34.6-9.26)+(50.26-9.28)</f>
        <v>66.319999999999993</v>
      </c>
      <c r="AK6" s="2">
        <f>40.08-9.24</f>
        <v>30.839999999999996</v>
      </c>
      <c r="AL6" s="4">
        <f>50.06-9.06</f>
        <v>41</v>
      </c>
      <c r="AM6" s="4">
        <f>50.26-9.26</f>
        <v>41</v>
      </c>
      <c r="AO6" s="2" t="s">
        <v>13</v>
      </c>
      <c r="AP6" s="4">
        <f t="shared" ref="AP6:AR7" si="5">U6*AI6</f>
        <v>8.443400000000105E-2</v>
      </c>
      <c r="AQ6" s="4">
        <f t="shared" si="5"/>
        <v>0.16137866666666698</v>
      </c>
      <c r="AR6" s="4">
        <f t="shared" si="5"/>
        <v>2.5700000000000021E-2</v>
      </c>
      <c r="AS6" s="4">
        <f t="shared" ref="AS6" si="6">X6*AL6</f>
        <v>4.8255757575757216E-2</v>
      </c>
      <c r="AT6" s="4">
        <f t="shared" ref="AT6:AT7" si="7">Y6*AM6</f>
        <v>0.23424666666666674</v>
      </c>
    </row>
    <row r="7" spans="1:46" ht="19" x14ac:dyDescent="0.25">
      <c r="A7" s="29"/>
      <c r="B7" s="2" t="s">
        <v>3</v>
      </c>
      <c r="C7" s="2">
        <v>0.1186</v>
      </c>
      <c r="D7" s="2">
        <v>0.11872000000000001</v>
      </c>
      <c r="E7" s="12">
        <v>0.11951000000000001</v>
      </c>
      <c r="F7" s="12">
        <v>0.12035</v>
      </c>
      <c r="G7" s="2">
        <v>0.11953999999999999</v>
      </c>
      <c r="H7" s="2">
        <v>0.11956</v>
      </c>
      <c r="I7" s="2">
        <v>0.120739</v>
      </c>
      <c r="J7" s="2">
        <v>4.4293454545454546E-2</v>
      </c>
      <c r="K7" s="2">
        <v>0.119132</v>
      </c>
      <c r="L7" s="2">
        <v>4.4457818181818182E-2</v>
      </c>
      <c r="N7" s="23">
        <f t="shared" si="0"/>
        <v>1.2000000000000899E-4</v>
      </c>
      <c r="O7" s="23">
        <f t="shared" si="1"/>
        <v>8.3999999999999353E-4</v>
      </c>
      <c r="P7" s="23">
        <f t="shared" si="2"/>
        <v>2.0000000000006124E-5</v>
      </c>
      <c r="Q7" s="23">
        <v>3.8836363636363618E-4</v>
      </c>
      <c r="R7" s="23">
        <v>1.1370909090909107E-3</v>
      </c>
      <c r="T7" s="2" t="s">
        <v>14</v>
      </c>
      <c r="U7" s="4">
        <f>(AVERAGE(N9:N11))*5</f>
        <v>1.5333333333333171E-3</v>
      </c>
      <c r="V7" s="4">
        <f>(AVERAGE(O9:O11))*5</f>
        <v>3.2166666666666689E-3</v>
      </c>
      <c r="W7" s="4">
        <f>(AVERAGE(P9:P11))*5</f>
        <v>5.8333333333333848E-4</v>
      </c>
      <c r="X7" s="4">
        <f>(AVERAGE(Q9))*5</f>
        <v>2.2727272727272746E-4</v>
      </c>
      <c r="Y7" s="4">
        <f t="shared" ref="Y7" si="8">(AVERAGE(R9:R11))*5</f>
        <v>3.8381818181818217E-3</v>
      </c>
      <c r="AA7" s="2" t="s">
        <v>14</v>
      </c>
      <c r="AB7" s="2">
        <f>53.34-9.3</f>
        <v>44.040000000000006</v>
      </c>
      <c r="AC7" s="2">
        <f>(50.12-9.26)+(30.1-9.28)</f>
        <v>61.68</v>
      </c>
      <c r="AD7" s="2">
        <f>41.22-9.24</f>
        <v>31.979999999999997</v>
      </c>
      <c r="AE7" s="4">
        <f>50.01-9.06</f>
        <v>40.949999999999996</v>
      </c>
      <c r="AF7" s="4">
        <f>50.12-9.26</f>
        <v>40.86</v>
      </c>
      <c r="AH7" s="2" t="s">
        <v>14</v>
      </c>
      <c r="AI7" s="2">
        <f>53.34-9.3</f>
        <v>44.040000000000006</v>
      </c>
      <c r="AJ7" s="2">
        <f>(50.12-9.26)+(30.1-9.28)</f>
        <v>61.68</v>
      </c>
      <c r="AK7" s="2">
        <f>41.22-9.24</f>
        <v>31.979999999999997</v>
      </c>
      <c r="AL7" s="4">
        <f>50.01-9.06</f>
        <v>40.949999999999996</v>
      </c>
      <c r="AM7" s="4">
        <f>50.12-9.26</f>
        <v>40.86</v>
      </c>
      <c r="AO7" s="2" t="s">
        <v>14</v>
      </c>
      <c r="AP7" s="4">
        <f t="shared" si="5"/>
        <v>6.7527999999999297E-2</v>
      </c>
      <c r="AQ7" s="4">
        <f t="shared" si="5"/>
        <v>0.19840400000000014</v>
      </c>
      <c r="AR7" s="4">
        <f t="shared" si="5"/>
        <v>1.8655000000000161E-2</v>
      </c>
      <c r="AS7" s="4">
        <f>X7*AL7</f>
        <v>9.3068181818181887E-3</v>
      </c>
      <c r="AT7" s="4">
        <f t="shared" si="7"/>
        <v>0.15682810909090925</v>
      </c>
    </row>
    <row r="8" spans="1:46" ht="19" x14ac:dyDescent="0.25">
      <c r="A8" s="29"/>
      <c r="B8" s="2" t="s">
        <v>10</v>
      </c>
      <c r="C8" s="12">
        <v>0.12002</v>
      </c>
      <c r="D8" s="12">
        <v>0.12095</v>
      </c>
      <c r="E8" s="12">
        <v>0.12043</v>
      </c>
      <c r="F8" s="12">
        <v>0.12083000000000001</v>
      </c>
      <c r="G8" s="9">
        <v>0.11661000000000001</v>
      </c>
      <c r="H8" s="2">
        <v>0.11661000000000001</v>
      </c>
      <c r="I8" s="2">
        <v>0.120589</v>
      </c>
      <c r="J8" s="2">
        <v>4.3974181818181815E-2</v>
      </c>
      <c r="K8" s="2">
        <v>0.12159200000000001</v>
      </c>
      <c r="L8" s="2">
        <v>4.5345090909090911E-2</v>
      </c>
      <c r="N8" s="23">
        <f t="shared" si="0"/>
        <v>9.3000000000000027E-4</v>
      </c>
      <c r="O8" s="23">
        <f t="shared" si="1"/>
        <v>4.0000000000001146E-4</v>
      </c>
      <c r="P8" s="23">
        <f t="shared" si="2"/>
        <v>0</v>
      </c>
      <c r="Q8" s="23">
        <v>1.2363636363636114E-4</v>
      </c>
      <c r="R8" s="23">
        <v>1.1298181818181813E-3</v>
      </c>
      <c r="AL8" s="24"/>
      <c r="AM8" s="24"/>
      <c r="AS8" s="24"/>
      <c r="AT8" s="24"/>
    </row>
    <row r="9" spans="1:46" ht="19" x14ac:dyDescent="0.25">
      <c r="A9" s="29"/>
      <c r="B9" s="2" t="s">
        <v>6</v>
      </c>
      <c r="C9" s="2">
        <v>0.11840000000000001</v>
      </c>
      <c r="D9" s="2">
        <v>0.11899999999999999</v>
      </c>
      <c r="E9" s="12">
        <v>0.11475</v>
      </c>
      <c r="F9" s="12">
        <v>0.11561</v>
      </c>
      <c r="G9" s="9">
        <v>0.11765</v>
      </c>
      <c r="H9" s="9">
        <v>0.1177</v>
      </c>
      <c r="I9" s="2">
        <v>0.119715</v>
      </c>
      <c r="J9" s="2">
        <v>4.3578181818181821E-2</v>
      </c>
      <c r="K9" s="2">
        <v>0.122</v>
      </c>
      <c r="L9" s="2">
        <v>4.5140363636363631E-2</v>
      </c>
      <c r="N9" s="23">
        <f t="shared" si="0"/>
        <v>5.9999999999998943E-4</v>
      </c>
      <c r="O9" s="23">
        <f t="shared" si="1"/>
        <v>8.5999999999999965E-4</v>
      </c>
      <c r="P9" s="23">
        <f t="shared" si="2"/>
        <v>4.9999999999994493E-5</v>
      </c>
      <c r="Q9" s="23">
        <v>4.5454545454545492E-5</v>
      </c>
      <c r="R9" s="23">
        <v>7.7672727272727236E-4</v>
      </c>
      <c r="AL9" s="24"/>
      <c r="AM9" s="24"/>
      <c r="AS9" s="24"/>
      <c r="AT9" s="24"/>
    </row>
    <row r="10" spans="1:46" ht="19" x14ac:dyDescent="0.25">
      <c r="A10" s="29"/>
      <c r="B10" s="2" t="s">
        <v>7</v>
      </c>
      <c r="C10" s="12">
        <v>0.11522</v>
      </c>
      <c r="D10" s="12">
        <v>0.11522</v>
      </c>
      <c r="E10" s="12">
        <v>0.12166</v>
      </c>
      <c r="F10" s="12">
        <v>0.12231</v>
      </c>
      <c r="G10" s="9">
        <v>0.11755</v>
      </c>
      <c r="H10" s="9">
        <v>0.11755</v>
      </c>
      <c r="I10" s="2">
        <v>0.12009599999999999</v>
      </c>
      <c r="J10" s="2">
        <v>4.3635636363636363E-2</v>
      </c>
      <c r="K10" s="2">
        <v>0.12042899999999999</v>
      </c>
      <c r="L10" s="2">
        <v>4.4488363636363631E-2</v>
      </c>
      <c r="N10" s="23">
        <f t="shared" si="0"/>
        <v>0</v>
      </c>
      <c r="O10" s="23">
        <f t="shared" si="1"/>
        <v>6.499999999999978E-4</v>
      </c>
      <c r="P10" s="23">
        <f t="shared" si="2"/>
        <v>0</v>
      </c>
      <c r="Q10" s="23">
        <v>0</v>
      </c>
      <c r="R10" s="23">
        <v>6.9599999999999968E-4</v>
      </c>
      <c r="AL10" s="24"/>
      <c r="AM10" s="24"/>
      <c r="AS10" s="24"/>
      <c r="AT10" s="24"/>
    </row>
    <row r="11" spans="1:46" ht="19" x14ac:dyDescent="0.25">
      <c r="A11" s="29"/>
      <c r="B11" s="2" t="s">
        <v>11</v>
      </c>
      <c r="C11" s="16">
        <v>0.11733</v>
      </c>
      <c r="D11" s="2">
        <v>0.11765</v>
      </c>
      <c r="E11" s="12">
        <v>0.12113</v>
      </c>
      <c r="F11" s="12">
        <v>0.12155000000000001</v>
      </c>
      <c r="G11" s="2">
        <v>0.11953</v>
      </c>
      <c r="H11" s="2">
        <v>0.11983000000000001</v>
      </c>
      <c r="I11" s="2">
        <v>0.11583300000000001</v>
      </c>
      <c r="J11" s="2">
        <v>4.2057454545454544E-2</v>
      </c>
      <c r="K11" s="2">
        <v>0.11624</v>
      </c>
      <c r="L11" s="2">
        <v>4.3099272727272729E-2</v>
      </c>
      <c r="N11" s="23">
        <f t="shared" si="0"/>
        <v>3.2000000000000084E-4</v>
      </c>
      <c r="O11" s="23">
        <f t="shared" si="1"/>
        <v>4.200000000000037E-4</v>
      </c>
      <c r="P11" s="23">
        <f t="shared" si="2"/>
        <v>3.0000000000000859E-4</v>
      </c>
      <c r="Q11" s="23">
        <v>0</v>
      </c>
      <c r="R11" s="23">
        <v>8.3018181818182084E-4</v>
      </c>
      <c r="AL11" s="24"/>
      <c r="AM11" s="24"/>
      <c r="AS11" s="24"/>
      <c r="AT11" s="24"/>
    </row>
    <row r="12" spans="1:46" x14ac:dyDescent="0.2">
      <c r="A12" s="13"/>
      <c r="N12" s="6"/>
      <c r="O12" s="6"/>
      <c r="P12" s="6"/>
      <c r="Q12" s="6"/>
      <c r="R12" s="6"/>
      <c r="AL12" s="24"/>
      <c r="AM12" s="24"/>
      <c r="AS12" s="24"/>
      <c r="AT12" s="24"/>
    </row>
    <row r="13" spans="1:46" ht="26" x14ac:dyDescent="0.2">
      <c r="A13" s="29" t="s">
        <v>48</v>
      </c>
      <c r="B13" s="2"/>
      <c r="C13" s="31" t="s">
        <v>52</v>
      </c>
      <c r="D13" s="31"/>
      <c r="E13" s="31" t="s">
        <v>51</v>
      </c>
      <c r="F13" s="31"/>
      <c r="G13" s="31" t="s">
        <v>53</v>
      </c>
      <c r="H13" s="31"/>
      <c r="I13" s="31" t="s">
        <v>55</v>
      </c>
      <c r="J13" s="31"/>
      <c r="K13" s="31" t="s">
        <v>46</v>
      </c>
      <c r="L13" s="31"/>
      <c r="M13" s="17"/>
      <c r="N13" s="14" t="s">
        <v>49</v>
      </c>
      <c r="O13" s="14" t="s">
        <v>51</v>
      </c>
      <c r="P13" s="14" t="s">
        <v>50</v>
      </c>
      <c r="Q13" s="7" t="s">
        <v>55</v>
      </c>
      <c r="R13" s="7" t="s">
        <v>46</v>
      </c>
      <c r="T13" s="34" t="s">
        <v>38</v>
      </c>
      <c r="U13" s="34"/>
      <c r="V13" s="34"/>
      <c r="W13" s="34"/>
      <c r="X13" s="11"/>
      <c r="Y13" s="11"/>
      <c r="Z13" s="8"/>
      <c r="AA13" s="34" t="s">
        <v>26</v>
      </c>
      <c r="AB13" s="34"/>
      <c r="AC13" s="34"/>
      <c r="AD13" s="34"/>
      <c r="AE13" s="11"/>
      <c r="AF13" s="11"/>
      <c r="AH13" s="34" t="s">
        <v>33</v>
      </c>
      <c r="AI13" s="34"/>
      <c r="AJ13" s="34"/>
      <c r="AK13" s="34"/>
      <c r="AL13" s="18"/>
      <c r="AM13" s="18"/>
      <c r="AO13" s="32" t="s">
        <v>32</v>
      </c>
      <c r="AP13" s="40"/>
      <c r="AQ13" s="40"/>
      <c r="AR13" s="40"/>
      <c r="AS13" s="18"/>
      <c r="AT13" s="18"/>
    </row>
    <row r="14" spans="1:46" ht="26" x14ac:dyDescent="0.2">
      <c r="A14" s="29"/>
      <c r="B14" s="2"/>
      <c r="C14" s="7" t="s">
        <v>0</v>
      </c>
      <c r="D14" s="7" t="s">
        <v>1</v>
      </c>
      <c r="E14" s="7" t="s">
        <v>0</v>
      </c>
      <c r="F14" s="7" t="s">
        <v>1</v>
      </c>
      <c r="G14" s="7" t="s">
        <v>0</v>
      </c>
      <c r="H14" s="7" t="s">
        <v>1</v>
      </c>
      <c r="I14" s="7" t="s">
        <v>0</v>
      </c>
      <c r="J14" s="7" t="s">
        <v>1</v>
      </c>
      <c r="K14" s="7" t="s">
        <v>0</v>
      </c>
      <c r="L14" s="7" t="s">
        <v>1</v>
      </c>
      <c r="N14" s="35" t="s">
        <v>15</v>
      </c>
      <c r="O14" s="35"/>
      <c r="P14" s="35"/>
      <c r="Q14" s="35"/>
      <c r="R14" s="35"/>
      <c r="T14" s="34"/>
      <c r="U14" s="34"/>
      <c r="V14" s="34"/>
      <c r="W14" s="34"/>
      <c r="X14" s="11"/>
      <c r="Y14" s="11"/>
      <c r="Z14" s="8"/>
      <c r="AA14" s="34"/>
      <c r="AB14" s="34"/>
      <c r="AC14" s="34"/>
      <c r="AD14" s="34"/>
      <c r="AE14" s="11"/>
      <c r="AF14" s="11"/>
      <c r="AH14" s="39"/>
      <c r="AI14" s="39"/>
      <c r="AJ14" s="39"/>
      <c r="AK14" s="39"/>
      <c r="AL14" s="18"/>
      <c r="AM14" s="18"/>
      <c r="AO14" s="41"/>
      <c r="AP14" s="41"/>
      <c r="AQ14" s="41"/>
      <c r="AR14" s="41"/>
      <c r="AS14" s="18"/>
      <c r="AT14" s="18"/>
    </row>
    <row r="15" spans="1:46" ht="19" x14ac:dyDescent="0.25">
      <c r="A15" s="29"/>
      <c r="B15" s="2" t="s">
        <v>4</v>
      </c>
      <c r="C15" s="2">
        <v>0.1203</v>
      </c>
      <c r="D15" s="2">
        <v>0.12248000000000001</v>
      </c>
      <c r="E15" s="12">
        <v>0.11506</v>
      </c>
      <c r="F15" s="12">
        <v>0.1171</v>
      </c>
      <c r="G15" s="2">
        <v>0.12025</v>
      </c>
      <c r="H15" s="2">
        <v>0.12055</v>
      </c>
      <c r="I15" s="2">
        <v>0.120188</v>
      </c>
      <c r="J15" s="2">
        <v>4.4659636363636367E-2</v>
      </c>
      <c r="K15" s="2">
        <v>0.11698</v>
      </c>
      <c r="L15" s="2">
        <v>4.3037090909090907E-2</v>
      </c>
      <c r="N15" s="4">
        <f t="shared" ref="N15:N20" si="9">D15-C15</f>
        <v>2.1800000000000014E-3</v>
      </c>
      <c r="O15" s="4">
        <f t="shared" ref="O15:O20" si="10">F15-E15</f>
        <v>2.0400000000000001E-3</v>
      </c>
      <c r="P15" s="4">
        <f t="shared" ref="P15:P20" si="11">H15-G15</f>
        <v>3.0000000000000859E-4</v>
      </c>
      <c r="Q15" s="4">
        <v>9.549090909090922E-4</v>
      </c>
      <c r="R15" s="4">
        <v>4.9890909090909033E-4</v>
      </c>
      <c r="T15" s="2"/>
      <c r="U15" s="7" t="s">
        <v>49</v>
      </c>
      <c r="V15" s="7" t="s">
        <v>51</v>
      </c>
      <c r="W15" s="7" t="s">
        <v>50</v>
      </c>
      <c r="X15" s="7" t="s">
        <v>55</v>
      </c>
      <c r="Y15" s="7" t="s">
        <v>46</v>
      </c>
      <c r="AA15" s="2"/>
      <c r="AB15" s="7" t="s">
        <v>49</v>
      </c>
      <c r="AC15" s="7" t="s">
        <v>51</v>
      </c>
      <c r="AD15" s="7" t="s">
        <v>50</v>
      </c>
      <c r="AE15" s="7" t="s">
        <v>55</v>
      </c>
      <c r="AF15" s="7" t="s">
        <v>46</v>
      </c>
      <c r="AH15" s="7"/>
      <c r="AI15" s="7" t="s">
        <v>49</v>
      </c>
      <c r="AJ15" s="7" t="s">
        <v>51</v>
      </c>
      <c r="AK15" s="7" t="s">
        <v>50</v>
      </c>
      <c r="AL15" s="7" t="s">
        <v>55</v>
      </c>
      <c r="AM15" s="7" t="s">
        <v>46</v>
      </c>
      <c r="AO15" s="2"/>
      <c r="AP15" s="7" t="s">
        <v>49</v>
      </c>
      <c r="AQ15" s="7" t="s">
        <v>51</v>
      </c>
      <c r="AR15" s="7" t="s">
        <v>50</v>
      </c>
      <c r="AS15" s="7" t="s">
        <v>55</v>
      </c>
      <c r="AT15" s="7" t="s">
        <v>46</v>
      </c>
    </row>
    <row r="16" spans="1:46" ht="19" x14ac:dyDescent="0.25">
      <c r="A16" s="29"/>
      <c r="B16" s="2" t="s">
        <v>8</v>
      </c>
      <c r="C16" s="2">
        <v>0.11973</v>
      </c>
      <c r="D16" s="2">
        <v>0.12077</v>
      </c>
      <c r="E16" s="12">
        <v>0.12017</v>
      </c>
      <c r="F16" s="12">
        <v>0.12095</v>
      </c>
      <c r="G16" s="2">
        <v>0.11824999999999999</v>
      </c>
      <c r="H16" s="2">
        <v>0.11905</v>
      </c>
      <c r="I16" s="2">
        <v>0.11637500000000001</v>
      </c>
      <c r="J16" s="2">
        <v>4.2307272727272728E-2</v>
      </c>
      <c r="K16" s="2">
        <v>0.122172</v>
      </c>
      <c r="L16" s="2">
        <v>4.6095272727272735E-2</v>
      </c>
      <c r="N16" s="4">
        <f t="shared" si="9"/>
        <v>1.0399999999999993E-3</v>
      </c>
      <c r="O16" s="4">
        <f t="shared" si="10"/>
        <v>7.8000000000000291E-4</v>
      </c>
      <c r="P16" s="4">
        <f t="shared" si="11"/>
        <v>8.0000000000000904E-4</v>
      </c>
      <c r="Q16" s="4">
        <v>9.5490909090909079E-4</v>
      </c>
      <c r="R16" s="4">
        <v>1.669090909090913E-3</v>
      </c>
      <c r="T16" s="2" t="s">
        <v>12</v>
      </c>
      <c r="U16" s="4">
        <f>AVERAGE(N15:N16)*5</f>
        <v>8.0500000000000016E-3</v>
      </c>
      <c r="V16" s="4">
        <f>AVERAGE(O15:O16)*5</f>
        <v>7.0500000000000076E-3</v>
      </c>
      <c r="W16" s="4">
        <f>AVERAGE(P15:P16)*5</f>
        <v>2.7500000000000441E-3</v>
      </c>
      <c r="X16" s="4">
        <f t="shared" ref="X16:Y16" si="12">AVERAGE(Q15:Q16)*5</f>
        <v>4.7745454545454575E-3</v>
      </c>
      <c r="Y16" s="4">
        <f t="shared" si="12"/>
        <v>5.4200000000000081E-3</v>
      </c>
      <c r="AA16" s="2" t="s">
        <v>12</v>
      </c>
      <c r="AB16" s="2">
        <v>1.06</v>
      </c>
      <c r="AC16" s="2">
        <v>1.08</v>
      </c>
      <c r="AD16" s="2">
        <v>1.1399999999999999</v>
      </c>
      <c r="AE16" s="4">
        <v>1.1000000000000001</v>
      </c>
      <c r="AF16" s="4">
        <v>1.08</v>
      </c>
      <c r="AH16" s="2" t="s">
        <v>20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O16" s="2" t="s">
        <v>12</v>
      </c>
      <c r="AP16" s="4">
        <f>AB16*U16</f>
        <v>8.5330000000000024E-3</v>
      </c>
      <c r="AQ16" s="4">
        <f>AC16*V16</f>
        <v>7.6140000000000088E-3</v>
      </c>
      <c r="AR16" s="4">
        <f>AD16*W16</f>
        <v>3.1350000000000501E-3</v>
      </c>
      <c r="AS16" s="4">
        <f t="shared" ref="AS16:AT16" si="13">AE16*X16</f>
        <v>5.2520000000000041E-3</v>
      </c>
      <c r="AT16" s="4">
        <f t="shared" si="13"/>
        <v>5.8536000000000091E-3</v>
      </c>
    </row>
    <row r="17" spans="1:46" ht="19" x14ac:dyDescent="0.25">
      <c r="A17" s="29"/>
      <c r="B17" s="2" t="s">
        <v>5</v>
      </c>
      <c r="C17" s="2">
        <v>0.12</v>
      </c>
      <c r="D17" s="2">
        <v>0.12062</v>
      </c>
      <c r="E17" s="12">
        <v>0.12053999999999999</v>
      </c>
      <c r="F17" s="12">
        <v>0.12272</v>
      </c>
      <c r="G17" s="2">
        <v>0.1183</v>
      </c>
      <c r="H17" s="2">
        <v>0.11959</v>
      </c>
      <c r="I17" s="2">
        <v>0.120382</v>
      </c>
      <c r="J17" s="2">
        <v>4.3951636363636359E-2</v>
      </c>
      <c r="K17" s="2">
        <v>0.116302</v>
      </c>
      <c r="L17" s="2">
        <v>4.9038909090909091E-2</v>
      </c>
      <c r="N17" s="4">
        <f t="shared" si="9"/>
        <v>6.2000000000000943E-4</v>
      </c>
      <c r="O17" s="4">
        <f t="shared" si="10"/>
        <v>2.1800000000000014E-3</v>
      </c>
      <c r="P17" s="4">
        <f t="shared" si="11"/>
        <v>1.2899999999999995E-3</v>
      </c>
      <c r="Q17" s="4">
        <v>1.7636363636363612E-4</v>
      </c>
      <c r="R17" s="4">
        <v>6.7472727272727276E-3</v>
      </c>
      <c r="T17" s="2" t="s">
        <v>13</v>
      </c>
      <c r="U17" s="4">
        <f>AVERAGE(N17:N18)*5</f>
        <v>5.0000000000000044E-3</v>
      </c>
      <c r="V17" s="4">
        <f>AVERAGE(O17:O18)*5</f>
        <v>5.4500000000000035E-3</v>
      </c>
      <c r="W17" s="4">
        <f>AVERAGE(P17:P18)*5</f>
        <v>8.39999999999997E-3</v>
      </c>
      <c r="X17" s="4">
        <f t="shared" ref="X17" si="14">AVERAGE(Q17:Q18)*5</f>
        <v>1.909090909090913E-3</v>
      </c>
      <c r="Y17" s="4">
        <f>AVERAGE(R17:R18)*5</f>
        <v>2.4924545454545463E-2</v>
      </c>
      <c r="AA17" s="2" t="s">
        <v>13</v>
      </c>
      <c r="AB17" s="2">
        <v>1.02</v>
      </c>
      <c r="AC17" s="2">
        <v>1.08</v>
      </c>
      <c r="AD17" s="2">
        <v>1.1000000000000001</v>
      </c>
      <c r="AE17" s="4">
        <v>1.1000000000000001</v>
      </c>
      <c r="AF17" s="4">
        <v>1.08</v>
      </c>
      <c r="AH17" s="2" t="s">
        <v>13</v>
      </c>
      <c r="AI17" s="4">
        <f>AB17*U17</f>
        <v>5.1000000000000047E-3</v>
      </c>
      <c r="AJ17" s="4">
        <f>AC17*V17</f>
        <v>5.8860000000000041E-3</v>
      </c>
      <c r="AK17" s="4">
        <f t="shared" ref="AI17:AK18" si="15">AD17*W17</f>
        <v>9.239999999999967E-3</v>
      </c>
      <c r="AL17" s="4">
        <f t="shared" ref="AL17:AM18" si="16">AE17*X17</f>
        <v>2.1000000000000046E-3</v>
      </c>
      <c r="AM17" s="4">
        <f>AF17*Y17</f>
        <v>2.6918509090909103E-2</v>
      </c>
      <c r="AO17" s="2" t="s">
        <v>13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</row>
    <row r="18" spans="1:46" ht="19" x14ac:dyDescent="0.25">
      <c r="A18" s="29"/>
      <c r="B18" s="2" t="s">
        <v>3</v>
      </c>
      <c r="C18" s="2">
        <v>0.1179</v>
      </c>
      <c r="D18" s="2">
        <v>0.11928</v>
      </c>
      <c r="E18" s="12">
        <v>0.11803</v>
      </c>
      <c r="F18" s="12">
        <v>0.11803</v>
      </c>
      <c r="G18" s="2">
        <v>0.11976000000000001</v>
      </c>
      <c r="H18" s="2">
        <v>0.12182999999999999</v>
      </c>
      <c r="I18" s="2">
        <v>0.120891</v>
      </c>
      <c r="J18" s="2">
        <v>4.4547636363636366E-2</v>
      </c>
      <c r="K18" s="2">
        <v>0.119947</v>
      </c>
      <c r="L18" s="2">
        <v>4.6839636363636361E-2</v>
      </c>
      <c r="N18" s="4">
        <f t="shared" si="9"/>
        <v>1.3799999999999923E-3</v>
      </c>
      <c r="O18" s="4">
        <f t="shared" si="10"/>
        <v>0</v>
      </c>
      <c r="P18" s="4">
        <f t="shared" si="11"/>
        <v>2.0699999999999885E-3</v>
      </c>
      <c r="Q18" s="4">
        <v>5.8727272727272914E-4</v>
      </c>
      <c r="R18" s="4">
        <v>3.2225454545454575E-3</v>
      </c>
      <c r="T18" s="2" t="s">
        <v>14</v>
      </c>
      <c r="U18" s="4">
        <f>AVERAGE(N19:N20)*5</f>
        <v>1.7199999999999993E-2</v>
      </c>
      <c r="V18" s="4">
        <f>AVERAGE(O19:O20)*5</f>
        <v>3.199999999999998E-2</v>
      </c>
      <c r="W18" s="4">
        <f>AVERAGE(P19:P20)*5</f>
        <v>4.1950000000000008E-2</v>
      </c>
      <c r="X18" s="4">
        <f t="shared" ref="X18:Y18" si="17">AVERAGE(Q19:Q20)*5</f>
        <v>1.8179090909090909E-2</v>
      </c>
      <c r="Y18" s="4">
        <f t="shared" si="17"/>
        <v>2.9247272727272733E-2</v>
      </c>
      <c r="AA18" s="2" t="s">
        <v>14</v>
      </c>
      <c r="AB18" s="2">
        <v>0.9</v>
      </c>
      <c r="AC18" s="2">
        <v>0.86</v>
      </c>
      <c r="AD18" s="2">
        <v>9.24</v>
      </c>
      <c r="AE18" s="4">
        <v>1.1000000000000001</v>
      </c>
      <c r="AF18" s="4">
        <v>1.08</v>
      </c>
      <c r="AH18" s="2" t="s">
        <v>14</v>
      </c>
      <c r="AI18" s="4">
        <f t="shared" si="15"/>
        <v>1.5479999999999994E-2</v>
      </c>
      <c r="AJ18" s="4">
        <f t="shared" si="15"/>
        <v>2.7519999999999982E-2</v>
      </c>
      <c r="AK18" s="4">
        <f t="shared" si="15"/>
        <v>0.38761800000000007</v>
      </c>
      <c r="AL18" s="4">
        <f t="shared" si="16"/>
        <v>1.9997000000000001E-2</v>
      </c>
      <c r="AM18" s="4">
        <f t="shared" si="16"/>
        <v>3.1587054545454553E-2</v>
      </c>
      <c r="AO18" s="2" t="s">
        <v>14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</row>
    <row r="19" spans="1:46" x14ac:dyDescent="0.2">
      <c r="A19" s="29"/>
      <c r="B19" s="2" t="s">
        <v>6</v>
      </c>
      <c r="C19" s="2">
        <v>0.11994</v>
      </c>
      <c r="D19" s="2">
        <v>0.12520000000000001</v>
      </c>
      <c r="E19" s="2">
        <v>0.11758</v>
      </c>
      <c r="F19" s="2">
        <v>0.1244</v>
      </c>
      <c r="G19" s="2">
        <v>0.1174</v>
      </c>
      <c r="H19" s="2">
        <v>0.1191</v>
      </c>
      <c r="I19" s="2">
        <v>0.120599</v>
      </c>
      <c r="J19" s="2">
        <v>4.5872363636363642E-2</v>
      </c>
      <c r="K19" s="2">
        <v>0.11612599999999999</v>
      </c>
      <c r="L19" s="2">
        <v>4.7695636363636364E-2</v>
      </c>
      <c r="N19" s="4">
        <f t="shared" si="9"/>
        <v>5.2600000000000008E-3</v>
      </c>
      <c r="O19" s="4">
        <f t="shared" si="10"/>
        <v>6.8199999999999927E-3</v>
      </c>
      <c r="P19" s="4">
        <f t="shared" si="11"/>
        <v>1.6999999999999932E-3</v>
      </c>
      <c r="Q19" s="4">
        <v>2.018181818181823E-3</v>
      </c>
      <c r="R19" s="4">
        <v>5.4680000000000032E-3</v>
      </c>
    </row>
    <row r="20" spans="1:46" x14ac:dyDescent="0.2">
      <c r="A20" s="29"/>
      <c r="B20" s="2" t="s">
        <v>7</v>
      </c>
      <c r="C20" s="2">
        <v>0.1179</v>
      </c>
      <c r="D20" s="2">
        <v>0.11952</v>
      </c>
      <c r="E20" s="2">
        <v>0.11738999999999999</v>
      </c>
      <c r="F20" s="2">
        <v>0.12336999999999999</v>
      </c>
      <c r="G20" s="2">
        <v>0.11706</v>
      </c>
      <c r="H20" s="2">
        <v>0.13214000000000001</v>
      </c>
      <c r="I20" s="2">
        <v>0.120031</v>
      </c>
      <c r="J20" s="2">
        <v>4.8901090909090901E-2</v>
      </c>
      <c r="K20" s="2">
        <v>0.11679299999999999</v>
      </c>
      <c r="L20" s="2">
        <v>4.8701090909090909E-2</v>
      </c>
      <c r="N20" s="4">
        <f t="shared" si="9"/>
        <v>1.6199999999999964E-3</v>
      </c>
      <c r="O20" s="4">
        <f t="shared" si="10"/>
        <v>5.9799999999999992E-3</v>
      </c>
      <c r="P20" s="4">
        <f t="shared" si="11"/>
        <v>1.508000000000001E-2</v>
      </c>
      <c r="Q20" s="4">
        <v>5.2534545454545412E-3</v>
      </c>
      <c r="R20" s="4">
        <v>6.2309090909090899E-3</v>
      </c>
    </row>
    <row r="21" spans="1:46" ht="26" x14ac:dyDescent="0.2">
      <c r="AH21" s="34" t="s">
        <v>47</v>
      </c>
      <c r="AI21" s="34"/>
      <c r="AJ21" s="34"/>
      <c r="AK21" s="34"/>
      <c r="AL21" s="18"/>
      <c r="AM21" s="18"/>
    </row>
    <row r="22" spans="1:46" ht="26" x14ac:dyDescent="0.25">
      <c r="A22" s="29" t="s">
        <v>29</v>
      </c>
      <c r="B22" s="7"/>
      <c r="C22" s="31" t="s">
        <v>52</v>
      </c>
      <c r="D22" s="31"/>
      <c r="E22" s="31" t="s">
        <v>51</v>
      </c>
      <c r="F22" s="31"/>
      <c r="G22" s="31" t="s">
        <v>50</v>
      </c>
      <c r="H22" s="31"/>
      <c r="I22" s="31" t="s">
        <v>55</v>
      </c>
      <c r="J22" s="31"/>
      <c r="K22" s="31" t="s">
        <v>46</v>
      </c>
      <c r="L22" s="31"/>
      <c r="N22" s="43" t="s">
        <v>15</v>
      </c>
      <c r="O22" s="44"/>
      <c r="P22" s="44"/>
      <c r="Q22" s="44"/>
      <c r="R22" s="44"/>
      <c r="T22" s="25"/>
      <c r="U22" s="25"/>
      <c r="V22" s="25" t="s">
        <v>28</v>
      </c>
      <c r="W22" s="25" t="s">
        <v>28</v>
      </c>
      <c r="X22" s="25"/>
      <c r="Y22" s="25"/>
      <c r="AH22" s="39"/>
      <c r="AI22" s="39"/>
      <c r="AJ22" s="39"/>
      <c r="AK22" s="39"/>
      <c r="AL22" s="18"/>
      <c r="AM22" s="18"/>
    </row>
    <row r="23" spans="1:46" ht="19" x14ac:dyDescent="0.25">
      <c r="A23" s="29"/>
      <c r="B23" s="7"/>
      <c r="C23" s="7" t="s">
        <v>23</v>
      </c>
      <c r="D23" s="7" t="s">
        <v>24</v>
      </c>
      <c r="E23" s="7" t="s">
        <v>23</v>
      </c>
      <c r="F23" s="7" t="s">
        <v>24</v>
      </c>
      <c r="G23" s="7" t="s">
        <v>23</v>
      </c>
      <c r="H23" s="7" t="s">
        <v>24</v>
      </c>
      <c r="I23" s="7" t="s">
        <v>23</v>
      </c>
      <c r="J23" s="7" t="s">
        <v>24</v>
      </c>
      <c r="K23" s="7" t="s">
        <v>23</v>
      </c>
      <c r="L23" s="7" t="s">
        <v>24</v>
      </c>
      <c r="N23" s="7" t="s">
        <v>49</v>
      </c>
      <c r="O23" s="7" t="s">
        <v>51</v>
      </c>
      <c r="P23" s="7" t="s">
        <v>50</v>
      </c>
      <c r="Q23" s="7" t="s">
        <v>55</v>
      </c>
      <c r="R23" s="7" t="s">
        <v>46</v>
      </c>
      <c r="T23" s="26"/>
      <c r="U23" s="25"/>
      <c r="V23" s="25"/>
      <c r="W23" s="25"/>
      <c r="X23" s="25"/>
      <c r="Y23" s="25"/>
      <c r="AH23" s="7"/>
      <c r="AI23" s="7" t="s">
        <v>49</v>
      </c>
      <c r="AJ23" s="7" t="s">
        <v>51</v>
      </c>
      <c r="AK23" s="7" t="s">
        <v>50</v>
      </c>
      <c r="AL23" s="7" t="s">
        <v>55</v>
      </c>
      <c r="AM23" s="7" t="s">
        <v>46</v>
      </c>
    </row>
    <row r="24" spans="1:46" ht="19" x14ac:dyDescent="0.25">
      <c r="A24" s="29"/>
      <c r="B24" s="2" t="s">
        <v>21</v>
      </c>
      <c r="C24" s="2">
        <v>249.59</v>
      </c>
      <c r="D24" s="2">
        <v>249.59</v>
      </c>
      <c r="E24" s="2">
        <v>251.57</v>
      </c>
      <c r="F24" s="2">
        <v>251.57</v>
      </c>
      <c r="G24" s="2">
        <v>249.75</v>
      </c>
      <c r="H24" s="2">
        <v>249.75</v>
      </c>
      <c r="I24" s="2">
        <v>244.78</v>
      </c>
      <c r="J24" s="2">
        <v>244.75</v>
      </c>
      <c r="K24" s="2">
        <v>247.87</v>
      </c>
      <c r="L24" s="2">
        <v>247.87</v>
      </c>
      <c r="M24" s="1" t="s">
        <v>28</v>
      </c>
      <c r="N24" s="2">
        <f>D24-C24</f>
        <v>0</v>
      </c>
      <c r="O24" s="2">
        <f>F24-E24</f>
        <v>0</v>
      </c>
      <c r="P24" s="2">
        <f>H24-G24</f>
        <v>0</v>
      </c>
      <c r="Q24" s="2">
        <f>I24-J24</f>
        <v>3.0000000000001137E-2</v>
      </c>
      <c r="R24" s="2">
        <f>K24-L24</f>
        <v>0</v>
      </c>
      <c r="T24" s="26"/>
      <c r="U24" s="25"/>
      <c r="V24" s="25"/>
      <c r="W24" s="25"/>
      <c r="X24" s="25"/>
      <c r="Y24" s="25"/>
      <c r="AH24" s="2" t="s">
        <v>20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</row>
    <row r="25" spans="1:46" ht="19" x14ac:dyDescent="0.25">
      <c r="A25" s="29"/>
      <c r="B25" s="2" t="s">
        <v>22</v>
      </c>
      <c r="C25" s="2">
        <f>338.7+0.00956</f>
        <v>338.70956000000001</v>
      </c>
      <c r="D25" s="2">
        <f>338.7</f>
        <v>338.7</v>
      </c>
      <c r="E25" s="2">
        <v>361.55</v>
      </c>
      <c r="F25" s="2">
        <v>361.55</v>
      </c>
      <c r="G25" s="2">
        <v>303.58999999999997</v>
      </c>
      <c r="H25" s="2">
        <v>303.58999999999997</v>
      </c>
      <c r="I25" s="2">
        <f>281.44</f>
        <v>281.44</v>
      </c>
      <c r="J25" s="2">
        <v>281.41000000000003</v>
      </c>
      <c r="K25" s="2">
        <v>276.185</v>
      </c>
      <c r="L25" s="2">
        <v>276.185</v>
      </c>
      <c r="M25" s="1" t="s">
        <v>28</v>
      </c>
      <c r="N25" s="2">
        <f>C25-D25</f>
        <v>9.5600000000217733E-3</v>
      </c>
      <c r="O25" s="2">
        <f>F25-E25</f>
        <v>0</v>
      </c>
      <c r="P25" s="2">
        <f>H25-G25</f>
        <v>0</v>
      </c>
      <c r="Q25" s="2">
        <f>I25-J25</f>
        <v>2.9999999999972715E-2</v>
      </c>
      <c r="R25" s="2">
        <f>K25-L25</f>
        <v>0</v>
      </c>
      <c r="T25" s="26"/>
      <c r="U25" s="25"/>
      <c r="V25" s="25"/>
      <c r="W25" s="25"/>
      <c r="X25" s="25"/>
      <c r="Y25" s="25"/>
      <c r="AH25" s="2" t="s">
        <v>13</v>
      </c>
      <c r="AI25" s="4">
        <f>AI17+N24</f>
        <v>5.1000000000000047E-3</v>
      </c>
      <c r="AJ25" s="4">
        <f t="shared" ref="AJ25:AL25" si="18">AJ17+O24</f>
        <v>5.8860000000000041E-3</v>
      </c>
      <c r="AK25" s="4">
        <f t="shared" si="18"/>
        <v>9.239999999999967E-3</v>
      </c>
      <c r="AL25" s="4">
        <f t="shared" si="18"/>
        <v>3.2100000000001142E-2</v>
      </c>
      <c r="AM25" s="4">
        <f>AM17+R24</f>
        <v>2.6918509090909103E-2</v>
      </c>
    </row>
    <row r="26" spans="1:46" ht="19" x14ac:dyDescent="0.25">
      <c r="A26" s="13"/>
      <c r="B26" s="3"/>
      <c r="C26" s="3"/>
      <c r="D26" s="3"/>
      <c r="E26" s="3"/>
      <c r="F26" s="3"/>
      <c r="G26" s="3"/>
      <c r="H26" s="3"/>
      <c r="J26" s="3"/>
      <c r="N26" s="26"/>
      <c r="O26" s="25"/>
      <c r="P26" s="25"/>
      <c r="Q26" s="25"/>
      <c r="R26" s="25"/>
      <c r="S26" s="25"/>
      <c r="AH26" s="2" t="s">
        <v>14</v>
      </c>
      <c r="AI26" s="4">
        <f>AI18+N25</f>
        <v>2.5040000000021767E-2</v>
      </c>
      <c r="AJ26" s="4">
        <f t="shared" ref="AJ26" si="19">AJ18+O25</f>
        <v>2.7519999999999982E-2</v>
      </c>
      <c r="AK26" s="4">
        <f t="shared" ref="AK26" si="20">AK18+P25</f>
        <v>0.38761800000000007</v>
      </c>
      <c r="AL26" s="4">
        <f t="shared" ref="AL26" si="21">AL18+Q25</f>
        <v>4.9996999999972716E-2</v>
      </c>
      <c r="AM26" s="4">
        <f>AM18+R25</f>
        <v>3.1587054545454553E-2</v>
      </c>
    </row>
    <row r="27" spans="1:46" ht="26" x14ac:dyDescent="0.3">
      <c r="A27" s="13"/>
      <c r="G27" s="42" t="s">
        <v>35</v>
      </c>
      <c r="H27" s="30"/>
      <c r="I27" s="30"/>
      <c r="J27" s="30"/>
      <c r="N27" s="26"/>
      <c r="O27" s="25"/>
      <c r="P27" s="25"/>
      <c r="Q27" s="25"/>
      <c r="R27" s="25"/>
      <c r="S27" s="25"/>
    </row>
    <row r="28" spans="1:46" ht="19" x14ac:dyDescent="0.25">
      <c r="A28" s="29" t="s">
        <v>31</v>
      </c>
      <c r="B28" s="7" t="s">
        <v>28</v>
      </c>
      <c r="C28" s="7" t="s">
        <v>52</v>
      </c>
      <c r="D28" s="7" t="s">
        <v>51</v>
      </c>
      <c r="E28" s="7" t="s">
        <v>50</v>
      </c>
      <c r="F28" s="7" t="s">
        <v>55</v>
      </c>
      <c r="G28" s="7" t="s">
        <v>46</v>
      </c>
      <c r="I28" s="7" t="s">
        <v>28</v>
      </c>
      <c r="J28" s="4" t="s">
        <v>19</v>
      </c>
      <c r="K28" s="4" t="s">
        <v>16</v>
      </c>
      <c r="L28" s="4" t="s">
        <v>17</v>
      </c>
      <c r="P28" s="26"/>
      <c r="Q28" s="26"/>
      <c r="R28" s="26"/>
      <c r="S28" s="25"/>
      <c r="T28" s="25"/>
      <c r="U28" s="25"/>
    </row>
    <row r="29" spans="1:46" ht="19" x14ac:dyDescent="0.25">
      <c r="A29" s="29"/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I29" s="2" t="s">
        <v>18</v>
      </c>
      <c r="J29" s="19">
        <f>AVERAGE(C29:G29)</f>
        <v>0</v>
      </c>
      <c r="K29" s="4">
        <f>STDEV(C29:G29)</f>
        <v>0</v>
      </c>
      <c r="L29" s="4">
        <f>K29/SQRT(5)</f>
        <v>0</v>
      </c>
      <c r="P29" s="26"/>
      <c r="Q29" s="26"/>
      <c r="R29" s="26"/>
      <c r="S29" s="25"/>
      <c r="T29" s="25"/>
      <c r="U29" s="25"/>
    </row>
    <row r="30" spans="1:46" ht="19" x14ac:dyDescent="0.25">
      <c r="A30" s="29"/>
      <c r="B30" s="2" t="s">
        <v>21</v>
      </c>
      <c r="C30" s="4">
        <f t="shared" ref="C30:E31" si="22">N24+AI17</f>
        <v>5.1000000000000047E-3</v>
      </c>
      <c r="D30" s="4">
        <f t="shared" si="22"/>
        <v>5.8860000000000041E-3</v>
      </c>
      <c r="E30" s="4">
        <f t="shared" si="22"/>
        <v>9.239999999999967E-3</v>
      </c>
      <c r="F30" s="4">
        <f t="shared" ref="F30:G30" si="23">Q24+AL17</f>
        <v>3.2100000000001142E-2</v>
      </c>
      <c r="G30" s="4">
        <f t="shared" si="23"/>
        <v>2.6918509090909103E-2</v>
      </c>
      <c r="I30" s="2" t="s">
        <v>44</v>
      </c>
      <c r="J30" s="19">
        <f>AVERAGE(C30:G30)</f>
        <v>1.5848901818182045E-2</v>
      </c>
      <c r="K30" s="4">
        <f>STDEV(C30:G30)</f>
        <v>1.2699510654603568E-2</v>
      </c>
      <c r="L30" s="4">
        <f>K30/SQRT(5)</f>
        <v>5.6793938209352864E-3</v>
      </c>
      <c r="P30" s="26"/>
      <c r="Q30" s="26"/>
      <c r="R30" s="26"/>
      <c r="S30" s="25"/>
      <c r="T30" s="25"/>
      <c r="U30" s="25"/>
    </row>
    <row r="31" spans="1:46" ht="19" x14ac:dyDescent="0.25">
      <c r="A31" s="29"/>
      <c r="B31" s="2" t="s">
        <v>22</v>
      </c>
      <c r="C31" s="4">
        <f t="shared" si="22"/>
        <v>2.5040000000021767E-2</v>
      </c>
      <c r="D31" s="4">
        <f t="shared" si="22"/>
        <v>2.7519999999999982E-2</v>
      </c>
      <c r="E31" s="4">
        <f t="shared" si="22"/>
        <v>0.38761800000000007</v>
      </c>
      <c r="F31" s="4">
        <f t="shared" ref="F31" si="24">Q25+AL18</f>
        <v>4.9996999999972716E-2</v>
      </c>
      <c r="G31" s="4">
        <f t="shared" ref="G31" si="25">R25+AM18</f>
        <v>3.1587054545454553E-2</v>
      </c>
      <c r="I31" s="2" t="s">
        <v>45</v>
      </c>
      <c r="J31" s="19">
        <f>AVERAGE(C31:G31)</f>
        <v>0.10435241090908982</v>
      </c>
      <c r="K31" s="4">
        <f>STDEV(C31:G31)</f>
        <v>0.15865243429834153</v>
      </c>
      <c r="L31" s="4">
        <f>K31/SQRT(5)</f>
        <v>7.0951525577382157E-2</v>
      </c>
      <c r="P31" s="26"/>
      <c r="Q31" s="26"/>
      <c r="R31" s="26"/>
      <c r="S31" s="25"/>
      <c r="T31" s="25"/>
      <c r="U31" s="25"/>
    </row>
    <row r="32" spans="1:46" ht="19" x14ac:dyDescent="0.25">
      <c r="A32" s="13"/>
      <c r="L32" s="6"/>
      <c r="P32" s="26"/>
      <c r="Q32" s="26"/>
      <c r="R32" s="26"/>
      <c r="S32" s="25"/>
      <c r="T32" s="25"/>
      <c r="U32" s="25"/>
    </row>
    <row r="33" spans="1:36" ht="19" x14ac:dyDescent="0.25">
      <c r="A33" s="13"/>
      <c r="B33" s="7" t="s">
        <v>28</v>
      </c>
      <c r="C33" s="7" t="s">
        <v>49</v>
      </c>
      <c r="D33" s="7" t="s">
        <v>51</v>
      </c>
      <c r="E33" s="7" t="s">
        <v>50</v>
      </c>
      <c r="F33" s="7" t="s">
        <v>55</v>
      </c>
      <c r="G33" s="7" t="s">
        <v>46</v>
      </c>
      <c r="I33" s="7" t="s">
        <v>34</v>
      </c>
      <c r="J33" s="4" t="s">
        <v>19</v>
      </c>
      <c r="K33" s="4" t="s">
        <v>16</v>
      </c>
      <c r="L33" s="4" t="s">
        <v>17</v>
      </c>
      <c r="P33" s="26"/>
      <c r="Q33" s="26"/>
      <c r="R33" s="26"/>
      <c r="S33" s="25"/>
      <c r="T33" s="25"/>
      <c r="U33" s="25"/>
    </row>
    <row r="34" spans="1:36" ht="19" x14ac:dyDescent="0.25">
      <c r="A34" s="13"/>
      <c r="B34" s="2" t="s">
        <v>12</v>
      </c>
      <c r="C34" s="4">
        <f>AP5+AP16</f>
        <v>0.62201266666666577</v>
      </c>
      <c r="D34" s="4">
        <f>AQ5+AQ16</f>
        <v>0.43740799999999974</v>
      </c>
      <c r="E34" s="4">
        <f>AR5+AR16</f>
        <v>9.7730333333332947E-2</v>
      </c>
      <c r="F34" s="4">
        <f t="shared" ref="F34:G34" si="26">AS5+AS16</f>
        <v>0.21395120000000031</v>
      </c>
      <c r="G34" s="4">
        <f t="shared" si="26"/>
        <v>0.34889294545454547</v>
      </c>
      <c r="I34" s="2" t="s">
        <v>18</v>
      </c>
      <c r="J34" s="19">
        <f>AVERAGE(C34:G34)</f>
        <v>0.34399902909090885</v>
      </c>
      <c r="K34" s="4">
        <f>STDEV(C34:G34)</f>
        <v>0.20223839725876089</v>
      </c>
      <c r="L34" s="4">
        <f>K34/SQRT(5)</f>
        <v>9.0443760786239294E-2</v>
      </c>
      <c r="P34" s="26"/>
      <c r="Q34" s="26"/>
      <c r="R34" s="26"/>
      <c r="S34" s="25"/>
      <c r="T34" s="25"/>
      <c r="U34" s="25"/>
      <c r="AJ34" s="20"/>
    </row>
    <row r="35" spans="1:36" ht="19" x14ac:dyDescent="0.25">
      <c r="A35" s="13"/>
      <c r="B35" s="2" t="s">
        <v>13</v>
      </c>
      <c r="C35" s="4">
        <f>AP6+AP17</f>
        <v>8.443400000000105E-2</v>
      </c>
      <c r="D35" s="4">
        <f>AQ6+AQ17</f>
        <v>0.16137866666666698</v>
      </c>
      <c r="E35" s="4">
        <f t="shared" ref="E35" si="27">AR6+AR17</f>
        <v>2.5700000000000021E-2</v>
      </c>
      <c r="F35" s="4">
        <f t="shared" ref="F35" si="28">AS6+AS17</f>
        <v>4.8255757575757216E-2</v>
      </c>
      <c r="G35" s="4">
        <f t="shared" ref="G35:G36" si="29">AT6+AT17</f>
        <v>0.23424666666666674</v>
      </c>
      <c r="I35" s="2" t="s">
        <v>44</v>
      </c>
      <c r="J35" s="19">
        <f>AVERAGE(C35:G35)</f>
        <v>0.1108030181818184</v>
      </c>
      <c r="K35" s="4">
        <f>STDEV(C35:G35)</f>
        <v>8.6090416429130234E-2</v>
      </c>
      <c r="L35" s="4">
        <f>K35/SQRT(5)</f>
        <v>3.8500804669359977E-2</v>
      </c>
      <c r="P35" s="26"/>
      <c r="Q35" s="26"/>
      <c r="R35" s="26"/>
      <c r="S35" s="25"/>
      <c r="T35" s="25"/>
      <c r="U35" s="25"/>
      <c r="AJ35" s="20"/>
    </row>
    <row r="36" spans="1:36" ht="19" x14ac:dyDescent="0.25">
      <c r="A36" s="13"/>
      <c r="B36" s="2" t="s">
        <v>14</v>
      </c>
      <c r="C36" s="4">
        <f>AP7+AP18</f>
        <v>6.7527999999999297E-2</v>
      </c>
      <c r="D36" s="4">
        <f>AQ7+AQ18</f>
        <v>0.19840400000000014</v>
      </c>
      <c r="E36" s="4">
        <f>AR7+AR18</f>
        <v>1.8655000000000161E-2</v>
      </c>
      <c r="F36" s="4">
        <f>AS7+AS18</f>
        <v>9.3068181818181887E-3</v>
      </c>
      <c r="G36" s="4">
        <f t="shared" si="29"/>
        <v>0.15682810909090925</v>
      </c>
      <c r="I36" s="2" t="s">
        <v>45</v>
      </c>
      <c r="J36" s="19">
        <f>AVERAGE(C36:G36)</f>
        <v>9.0144385454545395E-2</v>
      </c>
      <c r="K36" s="4">
        <f>STDEV(C36:G36)</f>
        <v>8.4148393546477213E-2</v>
      </c>
      <c r="L36" s="4">
        <f>K36/SQRT(5)</f>
        <v>3.7632305633465528E-2</v>
      </c>
      <c r="P36" s="26"/>
      <c r="Q36" s="26"/>
      <c r="R36" s="26"/>
      <c r="S36" s="25"/>
      <c r="T36" s="25"/>
      <c r="U36" s="25"/>
      <c r="AJ36" s="20"/>
    </row>
    <row r="37" spans="1:36" ht="19" x14ac:dyDescent="0.25">
      <c r="P37" s="26"/>
      <c r="Q37" s="26"/>
      <c r="R37" s="26"/>
      <c r="S37" s="25"/>
      <c r="T37" s="25"/>
      <c r="U37" s="25"/>
      <c r="AJ37" s="20"/>
    </row>
    <row r="38" spans="1:36" x14ac:dyDescent="0.2">
      <c r="A38" s="13"/>
      <c r="B38" s="7" t="s">
        <v>28</v>
      </c>
      <c r="C38" s="7" t="s">
        <v>49</v>
      </c>
      <c r="D38" s="7" t="s">
        <v>51</v>
      </c>
      <c r="E38" s="7" t="s">
        <v>50</v>
      </c>
      <c r="F38" s="7" t="s">
        <v>55</v>
      </c>
      <c r="G38" s="7" t="s">
        <v>46</v>
      </c>
      <c r="I38" s="7" t="s">
        <v>34</v>
      </c>
      <c r="J38" s="4" t="s">
        <v>19</v>
      </c>
      <c r="K38" s="4" t="s">
        <v>16</v>
      </c>
      <c r="L38" s="4" t="s">
        <v>17</v>
      </c>
      <c r="AJ38" s="20"/>
    </row>
    <row r="39" spans="1:36" x14ac:dyDescent="0.2">
      <c r="A39" s="6" t="s">
        <v>43</v>
      </c>
      <c r="B39" s="2" t="s">
        <v>12</v>
      </c>
      <c r="C39" s="21">
        <f>(C29/(C29+C34))*100</f>
        <v>0</v>
      </c>
      <c r="D39" s="21">
        <f t="shared" ref="D39:G41" si="30">(D29/(D29+D34))*100</f>
        <v>0</v>
      </c>
      <c r="E39" s="21">
        <f t="shared" si="30"/>
        <v>0</v>
      </c>
      <c r="F39" s="21">
        <f t="shared" si="30"/>
        <v>0</v>
      </c>
      <c r="G39" s="21">
        <f t="shared" si="30"/>
        <v>0</v>
      </c>
      <c r="I39" s="2" t="s">
        <v>18</v>
      </c>
      <c r="J39" s="21">
        <f>AVERAGE(C39:G39)</f>
        <v>0</v>
      </c>
      <c r="K39" s="4">
        <f>STDEV(C39:E39)</f>
        <v>0</v>
      </c>
      <c r="L39" s="4">
        <f>K39/SQRT(5)</f>
        <v>0</v>
      </c>
      <c r="AJ39" s="20"/>
    </row>
    <row r="40" spans="1:36" x14ac:dyDescent="0.2">
      <c r="A40" s="13"/>
      <c r="B40" s="2" t="s">
        <v>13</v>
      </c>
      <c r="C40" s="21">
        <f>(C30/(C30+C35))*100</f>
        <v>5.6961601179439594</v>
      </c>
      <c r="D40" s="21">
        <f t="shared" si="30"/>
        <v>3.5189739215694051</v>
      </c>
      <c r="E40" s="21">
        <f t="shared" ref="E40:G40" si="31">(E30/(E30+E35))*100</f>
        <v>26.445334859759505</v>
      </c>
      <c r="F40" s="21">
        <f t="shared" si="31"/>
        <v>39.94735532141263</v>
      </c>
      <c r="G40" s="21">
        <f t="shared" si="31"/>
        <v>10.307082103433252</v>
      </c>
      <c r="I40" s="2" t="s">
        <v>44</v>
      </c>
      <c r="J40" s="21">
        <f>AVERAGE(C40:G40)</f>
        <v>17.182981264823752</v>
      </c>
      <c r="K40" s="4">
        <f>STDEV(C40:E40)</f>
        <v>12.654949085030259</v>
      </c>
      <c r="L40" s="4">
        <f>K40/SQRT(5)</f>
        <v>5.6594652811852848</v>
      </c>
      <c r="AJ40" s="20"/>
    </row>
    <row r="41" spans="1:36" x14ac:dyDescent="0.2">
      <c r="A41" s="13"/>
      <c r="B41" s="2" t="s">
        <v>14</v>
      </c>
      <c r="C41" s="21">
        <f>(C31/(C31+C36))*100</f>
        <v>27.05038458216238</v>
      </c>
      <c r="D41" s="21">
        <f t="shared" si="30"/>
        <v>12.181087445335585</v>
      </c>
      <c r="E41" s="21">
        <f t="shared" ref="E41:G41" si="32">(E31/(E31+E36))*100</f>
        <v>95.408259963128202</v>
      </c>
      <c r="F41" s="21">
        <f t="shared" si="32"/>
        <v>84.306544726531911</v>
      </c>
      <c r="G41" s="21">
        <f t="shared" si="32"/>
        <v>16.7646031963843</v>
      </c>
      <c r="I41" s="2" t="s">
        <v>45</v>
      </c>
      <c r="J41" s="21">
        <f>AVERAGE(C41:G41)</f>
        <v>47.14217598270848</v>
      </c>
      <c r="K41" s="4">
        <f>STDEV(C41:E41)</f>
        <v>44.385916252135118</v>
      </c>
      <c r="L41" s="4">
        <f>K41/SQRT(5)</f>
        <v>19.849985196677363</v>
      </c>
      <c r="AJ41" s="20"/>
    </row>
    <row r="42" spans="1:36" x14ac:dyDescent="0.2">
      <c r="AJ42" s="20"/>
    </row>
    <row r="43" spans="1:36" x14ac:dyDescent="0.2">
      <c r="AJ43" s="20"/>
    </row>
    <row r="45" spans="1:36" x14ac:dyDescent="0.2">
      <c r="B45" s="27"/>
      <c r="C45" s="27"/>
      <c r="D45" s="27"/>
    </row>
  </sheetData>
  <mergeCells count="32">
    <mergeCell ref="AH21:AK22"/>
    <mergeCell ref="T1:W2"/>
    <mergeCell ref="AA1:AD2"/>
    <mergeCell ref="AH1:AK2"/>
    <mergeCell ref="AO1:AR2"/>
    <mergeCell ref="T13:W14"/>
    <mergeCell ref="AA13:AD14"/>
    <mergeCell ref="AH13:AK14"/>
    <mergeCell ref="AO13:AR14"/>
    <mergeCell ref="A2:A11"/>
    <mergeCell ref="K1:L1"/>
    <mergeCell ref="I1:J1"/>
    <mergeCell ref="N2:R2"/>
    <mergeCell ref="A13:A20"/>
    <mergeCell ref="C13:D13"/>
    <mergeCell ref="E13:F13"/>
    <mergeCell ref="G13:H13"/>
    <mergeCell ref="K13:L13"/>
    <mergeCell ref="I13:J13"/>
    <mergeCell ref="N14:R14"/>
    <mergeCell ref="K22:L22"/>
    <mergeCell ref="I22:J22"/>
    <mergeCell ref="N22:R22"/>
    <mergeCell ref="C1:D1"/>
    <mergeCell ref="E1:F1"/>
    <mergeCell ref="G1:H1"/>
    <mergeCell ref="G27:J27"/>
    <mergeCell ref="A28:A31"/>
    <mergeCell ref="A22:A25"/>
    <mergeCell ref="C22:D22"/>
    <mergeCell ref="E22:F22"/>
    <mergeCell ref="G22:H22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Cotton</vt:lpstr>
      <vt:lpstr>Polyester</vt:lpstr>
    </vt:vector>
  </TitlesOfParts>
  <Company>NCEAS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Anthony Browne</dc:creator>
  <cp:lastModifiedBy>Mark Browne</cp:lastModifiedBy>
  <cp:lastPrinted>2019-02-04T21:06:30Z</cp:lastPrinted>
  <dcterms:created xsi:type="dcterms:W3CDTF">2017-01-01T00:01:09Z</dcterms:created>
  <dcterms:modified xsi:type="dcterms:W3CDTF">2020-02-29T11:54:07Z</dcterms:modified>
</cp:coreProperties>
</file>